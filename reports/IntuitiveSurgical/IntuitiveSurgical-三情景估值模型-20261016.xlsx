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估值汇总" sheetId="2" state="visible" r:id="rId4"/>
    <sheet name="历史数据" sheetId="3" state="visible" r:id="rId5"/>
    <sheet name="假设" sheetId="4" state="visible" r:id="rId6"/>
    <sheet name="情景模型" sheetId="5" state="visible" r:id="rId7"/>
    <sheet name="敏感性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<sst xmlns="http://schemas.openxmlformats.org/spreadsheetml/2006/main" count="455" uniqueCount="253">
  <si>
    <r>
      <rPr>
        <b val="true"/>
        <sz val="10"/>
        <color rgb="FF1F4E79"/>
        <rFont val="Arial"/>
        <family val="0"/>
        <charset val="1"/>
      </rPr>
      <t xml:space="preserve">Intuitive Surgical (ISRG) </t>
    </r>
    <r>
      <rPr>
        <b val="true"/>
        <sz val="10"/>
        <color rgb="FF1F4E79"/>
        <rFont val="WenQuanYi Zen Hei"/>
        <family val="2"/>
      </rPr>
      <t xml:space="preserve">三年三情景估值模型</t>
    </r>
  </si>
  <si>
    <r>
      <rPr>
        <b val="true"/>
        <sz val="10"/>
        <rFont val="WenQuanYi Zen Hei"/>
        <family val="2"/>
      </rPr>
      <t xml:space="preserve">估值基准日：</t>
    </r>
    <r>
      <rPr>
        <b val="true"/>
        <sz val="10"/>
        <rFont val="Arial"/>
        <family val="0"/>
        <charset val="1"/>
      </rPr>
      <t xml:space="preserve">2026-10-15 </t>
    </r>
    <r>
      <rPr>
        <b val="true"/>
        <sz val="10"/>
        <rFont val="WenQuanYi Zen Hei"/>
        <family val="2"/>
      </rPr>
      <t xml:space="preserve">｜ 股价 </t>
    </r>
    <r>
      <rPr>
        <b val="true"/>
        <sz val="10"/>
        <rFont val="Arial"/>
        <family val="0"/>
        <charset val="1"/>
      </rPr>
      <t xml:space="preserve">$420.24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2026-10-14 </t>
    </r>
    <r>
      <rPr>
        <b val="true"/>
        <sz val="10"/>
        <rFont val="WenQuanYi Zen Hei"/>
        <family val="2"/>
      </rPr>
      <t xml:space="preserve">收盘）｜ 货币：美元 ｜ 单位：百万美元（除每股、台数、手术量外）</t>
    </r>
  </si>
  <si>
    <t xml:space="preserve">一、模型结构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</si>
  <si>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历史数据：</t>
    </r>
    <r>
      <rPr>
        <sz val="10"/>
        <color rgb="FF000000"/>
        <rFont val="Arial"/>
        <family val="0"/>
        <charset val="1"/>
      </rPr>
      <t xml:space="preserve">2021–2025 </t>
    </r>
    <r>
      <rPr>
        <sz val="10"/>
        <color rgb="FF000000"/>
        <rFont val="WenQuanYi Zen Hei"/>
        <family val="2"/>
      </rPr>
      <t xml:space="preserve">年报 </t>
    </r>
    <r>
      <rPr>
        <sz val="10"/>
        <color rgb="FF000000"/>
        <rFont val="Arial"/>
        <family val="0"/>
        <charset val="1"/>
      </rPr>
      <t xml:space="preserve">+ 2025/2026 </t>
    </r>
    <r>
      <rPr>
        <sz val="10"/>
        <color rgb="FF000000"/>
        <rFont val="WenQuanYi Zen Hei"/>
        <family val="2"/>
      </rPr>
      <t xml:space="preserve">上半年，全部取自 </t>
    </r>
    <r>
      <rPr>
        <sz val="10"/>
        <color rgb="FF000000"/>
        <rFont val="Arial"/>
        <family val="0"/>
        <charset val="1"/>
      </rPr>
      <t xml:space="preserve">SEC 10-K / 10-Q / XBRL</t>
    </r>
    <r>
      <rPr>
        <sz val="10"/>
        <color rgb="FF000000"/>
        <rFont val="WenQuanYi Zen Hei"/>
        <family val="2"/>
      </rPr>
      <t xml:space="preserve">，蓝色为原始输入。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</si>
  <si>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假设：全局参数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乐观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基准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悲观三套驱动因子（黄色底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关键可调参数）。修改这里，其余各表自动重算。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</si>
  <si>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情景模型：驱动因子 → 收入（手术量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单台器械收入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装机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单台服务收入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系统收入）→ 利润 → </t>
    </r>
    <r>
      <rPr>
        <sz val="10"/>
        <color rgb="FF000000"/>
        <rFont val="Arial"/>
        <family val="0"/>
        <charset val="1"/>
      </rPr>
      <t xml:space="preserve">GAAP / </t>
    </r>
    <r>
      <rPr>
        <sz val="10"/>
        <color rgb="FF000000"/>
        <rFont val="WenQuanYi Zen Hei"/>
        <family val="2"/>
      </rPr>
      <t xml:space="preserve">非</t>
    </r>
    <r>
      <rPr>
        <sz val="10"/>
        <color rgb="FF000000"/>
        <rFont val="Arial"/>
        <family val="0"/>
        <charset val="1"/>
      </rPr>
      <t xml:space="preserve">GAAP EPS → 2029 </t>
    </r>
    <r>
      <rPr>
        <sz val="10"/>
        <color rgb="FF000000"/>
        <rFont val="WenQuanYi Zen Hei"/>
        <family val="2"/>
      </rPr>
      <t xml:space="preserve">年目标价。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</si>
  <si>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估值汇总：三情景目标价、概率加权、折现到今天、买入区间、与一致预期对比。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</si>
  <si>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敏感性：退出 </t>
    </r>
    <r>
      <rPr>
        <sz val="10"/>
        <color rgb="FF000000"/>
        <rFont val="Arial"/>
        <family val="0"/>
        <charset val="1"/>
      </rPr>
      <t xml:space="preserve">PE × </t>
    </r>
    <r>
      <rPr>
        <sz val="10"/>
        <color rgb="FF000000"/>
        <rFont val="WenQuanYi Zen Hei"/>
        <family val="2"/>
      </rPr>
      <t xml:space="preserve">情景 </t>
    </r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WenQuanYi Zen Hei"/>
        <family val="2"/>
      </rPr>
      <t xml:space="preserve">；手术量增速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单台器械收入变化；系统降价对 </t>
    </r>
    <r>
      <rPr>
        <sz val="10"/>
        <color rgb="FF000000"/>
        <rFont val="Arial"/>
        <family val="0"/>
        <charset val="1"/>
      </rPr>
      <t xml:space="preserve">EPS </t>
    </r>
    <r>
      <rPr>
        <sz val="10"/>
        <color rgb="FF000000"/>
        <rFont val="WenQuanYi Zen Hei"/>
        <family val="2"/>
      </rPr>
      <t xml:space="preserve">的影响。</t>
    </r>
  </si>
  <si>
    <t xml:space="preserve">二、颜色约定</t>
  </si>
  <si>
    <r>
      <rPr>
        <sz val="10"/>
        <color rgb="FF000000"/>
        <rFont val="WenQuanYi Zen Hei"/>
        <family val="2"/>
      </rPr>
      <t xml:space="preserve">蓝色字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硬编码输入（历史数据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假设）；黑色字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公式；绿色字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跨表引用；黄色底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关键情景参数。</t>
    </r>
  </si>
  <si>
    <t xml:space="preserve">三、核心口径</t>
  </si>
  <si>
    <r>
      <rPr>
        <sz val="10"/>
        <color rgb="FF000000"/>
        <rFont val="WenQuanYi Zen Hei"/>
        <family val="2"/>
      </rPr>
      <t xml:space="preserve">• 单台器械收入 </t>
    </r>
    <r>
      <rPr>
        <sz val="10"/>
        <color rgb="FF000000"/>
        <rFont val="Arial"/>
        <family val="0"/>
        <charset val="1"/>
      </rPr>
      <t xml:space="preserve">= I&amp;A </t>
    </r>
    <r>
      <rPr>
        <sz val="10"/>
        <color rgb="FF000000"/>
        <rFont val="WenQuanYi Zen Hei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÷ da Vinci </t>
    </r>
    <r>
      <rPr>
        <sz val="10"/>
        <color rgb="FF000000"/>
        <rFont val="WenQuanYi Zen Hei"/>
        <family val="2"/>
      </rPr>
      <t xml:space="preserve">手术量（分母不含 </t>
    </r>
    <r>
      <rPr>
        <sz val="10"/>
        <color rgb="FF000000"/>
        <rFont val="Arial"/>
        <family val="0"/>
        <charset val="1"/>
      </rPr>
      <t xml:space="preserve">Ion</t>
    </r>
    <r>
      <rPr>
        <sz val="10"/>
        <color rgb="FF000000"/>
        <rFont val="WenQuanYi Zen Hei"/>
        <family val="2"/>
      </rPr>
      <t xml:space="preserve">，因此该值包含 </t>
    </r>
    <r>
      <rPr>
        <sz val="10"/>
        <color rgb="FF000000"/>
        <rFont val="Arial"/>
        <family val="0"/>
        <charset val="1"/>
      </rPr>
      <t xml:space="preserve">Ion </t>
    </r>
    <r>
      <rPr>
        <sz val="10"/>
        <color rgb="FF000000"/>
        <rFont val="WenQuanYi Zen Hei"/>
        <family val="2"/>
      </rPr>
      <t xml:space="preserve">器械贡献；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年约 </t>
    </r>
    <r>
      <rPr>
        <sz val="10"/>
        <color rgb="FF000000"/>
        <rFont val="Arial"/>
        <family val="0"/>
        <charset val="1"/>
      </rPr>
      <t xml:space="preserve">$1,909</t>
    </r>
    <r>
      <rPr>
        <sz val="10"/>
        <color rgb="FF000000"/>
        <rFont val="WenQuanYi Zen Hei"/>
        <family val="2"/>
      </rPr>
      <t xml:space="preserve">）。</t>
    </r>
  </si>
  <si>
    <r>
      <rPr>
        <sz val="10"/>
        <color rgb="FF000000"/>
        <rFont val="WenQuanYi Zen Hei"/>
        <family val="2"/>
      </rPr>
      <t xml:space="preserve">• 单台服务收入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服务收入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da Vinci </t>
    </r>
    <r>
      <rPr>
        <sz val="10"/>
        <color rgb="FF000000"/>
        <rFont val="WenQuanYi Zen Hei"/>
        <family val="2"/>
      </rPr>
      <t xml:space="preserve">装机量（含 </t>
    </r>
    <r>
      <rPr>
        <sz val="10"/>
        <color rgb="FF000000"/>
        <rFont val="Arial"/>
        <family val="0"/>
        <charset val="1"/>
      </rPr>
      <t xml:space="preserve">Ion </t>
    </r>
    <r>
      <rPr>
        <sz val="10"/>
        <color rgb="FF000000"/>
        <rFont val="WenQuanYi Zen Hei"/>
        <family val="2"/>
      </rPr>
      <t xml:space="preserve">服务贡献；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年约 </t>
    </r>
    <r>
      <rPr>
        <sz val="10"/>
        <color rgb="FF000000"/>
        <rFont val="Arial"/>
        <family val="0"/>
        <charset val="1"/>
      </rPr>
      <t xml:space="preserve">$14.97 </t>
    </r>
    <r>
      <rPr>
        <sz val="10"/>
        <color rgb="FF000000"/>
        <rFont val="WenQuanYi Zen Hei"/>
        <family val="2"/>
      </rPr>
      <t xml:space="preserve">万）。</t>
    </r>
  </si>
  <si>
    <r>
      <rPr>
        <sz val="10"/>
        <color rgb="FF000000"/>
        <rFont val="WenQuanYi Zen Hei"/>
        <family val="2"/>
      </rPr>
      <t xml:space="preserve">• 非 </t>
    </r>
    <r>
      <rPr>
        <sz val="10"/>
        <color rgb="FF000000"/>
        <rFont val="Arial"/>
        <family val="0"/>
        <charset val="1"/>
      </rPr>
      <t xml:space="preserve">GAAP EPS =</t>
    </r>
    <r>
      <rPr>
        <sz val="10"/>
        <color rgb="FF000000"/>
        <rFont val="WenQuanYi Zen Hei"/>
        <family val="2"/>
      </rPr>
      <t xml:space="preserve">（税前利润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股权激励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其他非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WenQuanYi Zen Hei"/>
        <family val="2"/>
      </rPr>
      <t xml:space="preserve">调整）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非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WenQuanYi Zen Hei"/>
        <family val="2"/>
      </rPr>
      <t xml:space="preserve">税率）− 少数股东损益，再除以稀释股本；与公司口径近似，非精确复刻。</t>
    </r>
  </si>
  <si>
    <r>
      <rPr>
        <sz val="10"/>
        <color rgb="FF000000"/>
        <rFont val="WenQuanYi Zen Hei"/>
        <family val="2"/>
      </rPr>
      <t xml:space="preserve">• 目标价 </t>
    </r>
    <r>
      <rPr>
        <sz val="10"/>
        <color rgb="FF000000"/>
        <rFont val="Arial"/>
        <family val="0"/>
        <charset val="1"/>
      </rPr>
      <t xml:space="preserve">= 2029E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 × </t>
    </r>
    <r>
      <rPr>
        <sz val="10"/>
        <color rgb="FF000000"/>
        <rFont val="WenQuanYi Zen Hei"/>
        <family val="2"/>
      </rPr>
      <t xml:space="preserve">退出 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（三年后的价格），按资本成本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WenQuanYi Zen Hei"/>
        <family val="2"/>
      </rPr>
      <t xml:space="preserve">折现回今天。</t>
    </r>
  </si>
  <si>
    <r>
      <rPr>
        <sz val="10"/>
        <color rgb="FF000000"/>
        <rFont val="Arial"/>
        <family val="0"/>
        <charset val="1"/>
      </rPr>
      <t xml:space="preserve">• 2027 </t>
    </r>
    <r>
      <rPr>
        <sz val="10"/>
        <color rgb="FF000000"/>
        <rFont val="WenQuanYi Zen Hei"/>
        <family val="2"/>
      </rPr>
      <t xml:space="preserve">年起的单台器械收入下降，反映 </t>
    </r>
    <r>
      <rPr>
        <sz val="10"/>
        <color rgb="FF000000"/>
        <rFont val="Arial"/>
        <family val="0"/>
        <charset val="1"/>
      </rPr>
      <t xml:space="preserve">EndoWrist </t>
    </r>
    <r>
      <rPr>
        <sz val="10"/>
        <color rgb="FF000000"/>
        <rFont val="WenQuanYi Zen Hei"/>
        <family val="2"/>
      </rPr>
      <t xml:space="preserve">延寿计划（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上半年启动，公司尚未量化）与竞争降价，均为估计。</t>
    </r>
  </si>
  <si>
    <t xml:space="preserve">四、数据来源</t>
  </si>
  <si>
    <r>
      <rPr>
        <sz val="10"/>
        <color rgb="FF000000"/>
        <rFont val="Arial"/>
        <family val="0"/>
        <charset val="1"/>
      </rPr>
      <t xml:space="preserve">SEC EDGAR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FY2021–FY2025 10-K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Q1/Q2 2026 10-Q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2026 </t>
    </r>
    <r>
      <rPr>
        <sz val="10"/>
        <color rgb="FF000000"/>
        <rFont val="WenQuanYi Zen Hei"/>
        <family val="2"/>
      </rPr>
      <t xml:space="preserve">新闻稿（</t>
    </r>
    <r>
      <rPr>
        <sz val="10"/>
        <color rgb="FF000000"/>
        <rFont val="Arial"/>
        <family val="0"/>
        <charset val="1"/>
      </rPr>
      <t xml:space="preserve">8-K EX-99.1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XBRL companyfacts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CIK 1035267</t>
    </r>
    <r>
      <rPr>
        <sz val="10"/>
        <color rgb="FF000000"/>
        <rFont val="WenQuanYi Zen Hei"/>
        <family val="2"/>
      </rPr>
      <t xml:space="preserve">）。</t>
    </r>
  </si>
  <si>
    <r>
      <rPr>
        <sz val="10"/>
        <color rgb="FF000000"/>
        <rFont val="WenQuanYi Zen Hei"/>
        <family val="2"/>
      </rPr>
      <t xml:space="preserve">一致预期：</t>
    </r>
    <r>
      <rPr>
        <sz val="10"/>
        <color rgb="FF000000"/>
        <rFont val="Arial"/>
        <family val="0"/>
        <charset val="1"/>
      </rPr>
      <t xml:space="preserve">StockAnalysis / S&amp;P Global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2026-10-13</t>
    </r>
    <r>
      <rPr>
        <sz val="10"/>
        <color rgb="FF000000"/>
        <rFont val="WenQuanYi Zen Hei"/>
        <family val="2"/>
      </rPr>
      <t xml:space="preserve">）。公司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指引：</t>
    </r>
    <r>
      <rPr>
        <sz val="10"/>
        <color rgb="FF000000"/>
        <rFont val="Arial"/>
        <family val="0"/>
        <charset val="1"/>
      </rPr>
      <t xml:space="preserve">Q2 2026 </t>
    </r>
    <r>
      <rPr>
        <sz val="10"/>
        <color rgb="FF000000"/>
        <rFont val="WenQuanYi Zen Hei"/>
        <family val="2"/>
      </rPr>
      <t xml:space="preserve">新闻稿与电话会。</t>
    </r>
  </si>
  <si>
    <t xml:space="preserve">五、局限</t>
  </si>
  <si>
    <r>
      <rPr>
        <sz val="10"/>
        <color rgb="FF000000"/>
        <rFont val="WenQuanYi Zen Hei"/>
        <family val="2"/>
      </rPr>
      <t xml:space="preserve">所有预测值均为估计；情景概率为主观判断。</t>
    </r>
    <r>
      <rPr>
        <sz val="10"/>
        <color rgb="FF000000"/>
        <rFont val="Arial"/>
        <family val="0"/>
        <charset val="1"/>
      </rPr>
      <t xml:space="preserve">Q3 2026 </t>
    </r>
    <r>
      <rPr>
        <sz val="10"/>
        <color rgb="FF000000"/>
        <rFont val="WenQuanYi Zen Hei"/>
        <family val="2"/>
      </rPr>
      <t xml:space="preserve">财报（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WenQuanYi Zen Hei"/>
        <family val="2"/>
      </rPr>
      <t xml:space="preserve">）后需更新：延寿计划影响、美国手术增速、装机净增。</t>
    </r>
  </si>
  <si>
    <t xml:space="preserve">本模型仅供研究参考，不构成投资建议。</t>
  </si>
  <si>
    <r>
      <rPr>
        <b val="true"/>
        <sz val="10"/>
        <color rgb="FF1F4E79"/>
        <rFont val="Arial"/>
        <family val="0"/>
        <charset val="1"/>
      </rPr>
      <t xml:space="preserve">ISRG </t>
    </r>
    <r>
      <rPr>
        <b val="true"/>
        <sz val="10"/>
        <color rgb="FF1F4E79"/>
        <rFont val="WenQuanYi Zen Hei"/>
        <family val="2"/>
      </rPr>
      <t xml:space="preserve">三年三情景估值汇总</t>
    </r>
  </si>
  <si>
    <r>
      <rPr>
        <sz val="10"/>
        <color rgb="FF000000"/>
        <rFont val="WenQuanYi Zen Hei"/>
        <family val="2"/>
      </rPr>
      <t xml:space="preserve">估值基准日 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；目标价 </t>
    </r>
    <r>
      <rPr>
        <sz val="10"/>
        <color rgb="FF000000"/>
        <rFont val="Arial"/>
        <family val="0"/>
        <charset val="1"/>
      </rPr>
      <t xml:space="preserve">= 2029E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 × </t>
    </r>
    <r>
      <rPr>
        <sz val="10"/>
        <color rgb="FF000000"/>
        <rFont val="WenQuanYi Zen Hei"/>
        <family val="2"/>
      </rPr>
      <t xml:space="preserve">退出 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；折现率与概率见「假设」表</t>
    </r>
  </si>
  <si>
    <t xml:space="preserve">指标</t>
  </si>
  <si>
    <t xml:space="preserve">乐观</t>
  </si>
  <si>
    <t xml:space="preserve">基准</t>
  </si>
  <si>
    <t xml:space="preserve">悲观</t>
  </si>
  <si>
    <t xml:space="preserve">概率加权</t>
  </si>
  <si>
    <t xml:space="preserve">情景概率</t>
  </si>
  <si>
    <r>
      <rPr>
        <sz val="10"/>
        <color rgb="FF000000"/>
        <rFont val="Arial"/>
        <family val="0"/>
        <charset val="1"/>
      </rPr>
      <t xml:space="preserve">2029E </t>
    </r>
    <r>
      <rPr>
        <sz val="10"/>
        <color rgb="FF000000"/>
        <rFont val="WenQuanYi Zen Hei"/>
        <family val="2"/>
      </rPr>
      <t xml:space="preserve">收入（</t>
    </r>
    <r>
      <rPr>
        <sz val="10"/>
        <color rgb="FF000000"/>
        <rFont val="Arial"/>
        <family val="0"/>
        <charset val="1"/>
      </rPr>
      <t xml:space="preserve">$mm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</si>
  <si>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收入复合增速 </t>
    </r>
    <r>
      <rPr>
        <sz val="10"/>
        <color rgb="FF000000"/>
        <rFont val="Arial"/>
        <family val="0"/>
        <charset val="1"/>
      </rPr>
      <t xml:space="preserve">2025A–2029E</t>
    </r>
  </si>
  <si>
    <r>
      <rPr>
        <sz val="10"/>
        <color rgb="FF000000"/>
        <rFont val="Arial"/>
        <family val="0"/>
        <charset val="1"/>
      </rPr>
      <t xml:space="preserve">2029E GAAP </t>
    </r>
    <r>
      <rPr>
        <sz val="10"/>
        <color rgb="FF000000"/>
        <rFont val="WenQuanYi Zen Hei"/>
        <family val="2"/>
      </rPr>
      <t xml:space="preserve">经营利润率</t>
    </r>
  </si>
  <si>
    <r>
      <rPr>
        <sz val="10"/>
        <color rgb="FF000000"/>
        <rFont val="Arial"/>
        <family val="0"/>
        <charset val="1"/>
      </rPr>
      <t xml:space="preserve">2029E GAAP EPS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</si>
  <si>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2029E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</si>
  <si>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 </t>
    </r>
    <r>
      <rPr>
        <sz val="10"/>
        <color rgb="FF000000"/>
        <rFont val="WenQuanYi Zen Hei"/>
        <family val="2"/>
      </rPr>
      <t xml:space="preserve">复合增速 </t>
    </r>
    <r>
      <rPr>
        <sz val="10"/>
        <color rgb="FF000000"/>
        <rFont val="Arial"/>
        <family val="0"/>
        <charset val="1"/>
      </rPr>
      <t xml:space="preserve">2026E–2029E</t>
    </r>
  </si>
  <si>
    <r>
      <rPr>
        <sz val="10"/>
        <color rgb="FF000000"/>
        <rFont val="WenQuanYi Zen Hei"/>
        <family val="2"/>
      </rPr>
      <t xml:space="preserve">退出 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（非 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</si>
  <si>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2029E </t>
    </r>
    <r>
      <rPr>
        <b val="true"/>
        <sz val="10"/>
        <color rgb="FF000000"/>
        <rFont val="WenQuanYi Zen Hei"/>
        <family val="2"/>
      </rPr>
      <t xml:space="preserve">目标价（</t>
    </r>
    <r>
      <rPr>
        <b val="true"/>
        <sz val="10"/>
        <color rgb="FF000000"/>
        <rFont val="Arial"/>
        <family val="0"/>
        <charset val="1"/>
      </rPr>
      <t xml:space="preserve">$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</si>
  <si>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相对现价涨跌幅</t>
  </si>
  <si>
    <t xml:space="preserve">三年年化回报</t>
  </si>
  <si>
    <r>
      <rPr>
        <b val="true"/>
        <sz val="10"/>
        <color rgb="FF000000"/>
        <rFont val="WenQuanYi Zen Hei"/>
        <family val="2"/>
      </rPr>
      <t xml:space="preserve">折现到今天的价值（</t>
    </r>
    <r>
      <rPr>
        <b val="true"/>
        <sz val="10"/>
        <color rgb="FF000000"/>
        <rFont val="Arial"/>
        <family val="0"/>
        <charset val="1"/>
      </rPr>
      <t xml:space="preserve">$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</si>
  <si>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结论与价格区间</t>
  </si>
  <si>
    <r>
      <rPr>
        <sz val="10"/>
        <color rgb="FF000000"/>
        <rFont val="WenQuanYi Zen Hei"/>
        <family val="2"/>
      </rPr>
      <t xml:space="preserve">当前股价（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</si>
  <si>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概率加权 </t>
    </r>
    <r>
      <rPr>
        <sz val="10"/>
        <color rgb="FF000000"/>
        <rFont val="Arial"/>
        <family val="0"/>
        <charset val="1"/>
      </rPr>
      <t xml:space="preserve">2029E </t>
    </r>
    <r>
      <rPr>
        <sz val="10"/>
        <color rgb="FF000000"/>
        <rFont val="WenQuanYi Zen Hei"/>
        <family val="2"/>
      </rPr>
      <t xml:space="preserve">目标价（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</si>
  <si>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概率加权价值折现到今天（</t>
    </r>
    <r>
      <rPr>
        <b val="true"/>
        <sz val="10"/>
        <color rgb="FF000000"/>
        <rFont val="Arial"/>
        <family val="0"/>
        <charset val="1"/>
      </rPr>
      <t xml:space="preserve">$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</si>
  <si>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现价相对折现价值的溢价 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（折价）</t>
    </r>
  </si>
  <si>
    <r>
      <rPr>
        <sz val="10"/>
        <color rgb="FF000000"/>
        <rFont val="WenQuanYi Zen Hei"/>
        <family val="2"/>
      </rPr>
      <t xml:space="preserve">买入区间上限（折现价值 </t>
    </r>
    <r>
      <rPr>
        <sz val="10"/>
        <color rgb="FF000000"/>
        <rFont val="Arial"/>
        <family val="0"/>
        <charset val="1"/>
      </rPr>
      <t xml:space="preserve">× (1 − </t>
    </r>
    <r>
      <rPr>
        <sz val="10"/>
        <color rgb="FF000000"/>
        <rFont val="WenQuanYi Zen Hei"/>
        <family val="2"/>
      </rPr>
      <t xml:space="preserve">安全边际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</si>
  <si>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分批建仓区间（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</si>
  <si>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t xml:space="preserve">建议</t>
  </si>
  <si>
    <r>
      <rPr>
        <sz val="10"/>
        <color rgb="FF000000"/>
        <rFont val="WenQuanYi Zen Hei"/>
        <family val="2"/>
      </rPr>
      <t xml:space="preserve">现价要求的 </t>
    </r>
    <r>
      <rPr>
        <sz val="10"/>
        <color rgb="FF000000"/>
        <rFont val="Arial"/>
        <family val="0"/>
        <charset val="1"/>
      </rPr>
      <t xml:space="preserve">2029E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</t>
    </r>
    <r>
      <rPr>
        <sz val="10"/>
        <color rgb="FF000000"/>
        <rFont val="WenQuanYi Zen Hei"/>
        <family val="2"/>
      </rPr>
      <t xml:space="preserve">（按基准 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、年化回报 </t>
    </r>
    <r>
      <rPr>
        <sz val="10"/>
        <color rgb="FF000000"/>
        <rFont val="Arial"/>
        <family val="0"/>
        <charset val="1"/>
      </rPr>
      <t xml:space="preserve">= r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</si>
  <si>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  对应 </t>
    </r>
    <r>
      <rPr>
        <sz val="10"/>
        <color rgb="FF000000"/>
        <rFont val="Arial"/>
        <family val="0"/>
        <charset val="1"/>
      </rPr>
      <t xml:space="preserve">2026E–2029E EPS </t>
    </r>
    <r>
      <rPr>
        <sz val="10"/>
        <color rgb="FF000000"/>
        <rFont val="WenQuanYi Zen Hei"/>
        <family val="2"/>
      </rPr>
      <t xml:space="preserve">复合增速</t>
    </r>
  </si>
  <si>
    <t xml:space="preserve">概率合计检查</t>
  </si>
  <si>
    <r>
      <rPr>
        <b val="true"/>
        <sz val="10"/>
        <color rgb="FF1F4E79"/>
        <rFont val="WenQuanYi Zen Hei"/>
        <family val="2"/>
      </rPr>
      <t xml:space="preserve">模型 </t>
    </r>
    <r>
      <rPr>
        <b val="true"/>
        <sz val="10"/>
        <color rgb="FF1F4E79"/>
        <rFont val="Arial"/>
        <family val="0"/>
        <charset val="1"/>
      </rPr>
      <t xml:space="preserve">vs </t>
    </r>
    <r>
      <rPr>
        <b val="true"/>
        <sz val="10"/>
        <color rgb="FF1F4E79"/>
        <rFont val="WenQuanYi Zen Hei"/>
        <family val="2"/>
      </rPr>
      <t xml:space="preserve">一致预期（基准情景）</t>
    </r>
  </si>
  <si>
    <t xml:space="preserve">模型（基准）</t>
  </si>
  <si>
    <t xml:space="preserve">一致预期</t>
  </si>
  <si>
    <t xml:space="preserve">差异</t>
  </si>
  <si>
    <r>
      <rPr>
        <sz val="10"/>
        <color rgb="FF000000"/>
        <rFont val="Arial"/>
        <family val="0"/>
        <charset val="1"/>
      </rPr>
      <t xml:space="preserve">2026E </t>
    </r>
    <r>
      <rPr>
        <sz val="10"/>
        <color rgb="FF000000"/>
        <rFont val="WenQuanYi Zen Hei"/>
        <family val="2"/>
      </rPr>
      <t xml:space="preserve">收入（</t>
    </r>
    <r>
      <rPr>
        <sz val="10"/>
        <color rgb="FF000000"/>
        <rFont val="Arial"/>
        <family val="0"/>
        <charset val="1"/>
      </rPr>
      <t xml:space="preserve">$mm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</si>
  <si>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2026E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</si>
  <si>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2027E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</si>
  <si>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注：基准情景 </t>
    </r>
    <r>
      <rPr>
        <sz val="10"/>
        <color rgb="FF000000"/>
        <rFont val="Arial"/>
        <family val="0"/>
        <charset val="1"/>
      </rPr>
      <t xml:space="preserve">2027E </t>
    </r>
    <r>
      <rPr>
        <sz val="10"/>
        <color rgb="FF000000"/>
        <rFont val="WenQuanYi Zen Hei"/>
        <family val="2"/>
      </rPr>
      <t xml:space="preserve">低于一致预期，主要因为假设延寿计划使单台 </t>
    </r>
    <r>
      <rPr>
        <sz val="10"/>
        <color rgb="FF000000"/>
        <rFont val="Arial"/>
        <family val="0"/>
        <charset val="1"/>
      </rPr>
      <t xml:space="preserve">I&amp;A </t>
    </r>
    <r>
      <rPr>
        <sz val="10"/>
        <color rgb="FF000000"/>
        <rFont val="WenQuanYi Zen Hei"/>
        <family val="2"/>
      </rPr>
      <t xml:space="preserve">收入下降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WenQuanYi Zen Hei"/>
        <family val="2"/>
      </rPr>
      <t xml:space="preserve">（一致预期可能尚未充分反映）。</t>
    </r>
  </si>
  <si>
    <t xml:space="preserve">情景描述</t>
  </si>
  <si>
    <r>
      <rPr>
        <sz val="10"/>
        <color rgb="FF000000"/>
        <rFont val="WenQuanYi Zen Hei"/>
        <family val="2"/>
      </rPr>
      <t xml:space="preserve">美国手术增速回到 </t>
    </r>
    <r>
      <rPr>
        <sz val="10"/>
        <color rgb="FF000000"/>
        <rFont val="Arial"/>
        <family val="0"/>
        <charset val="1"/>
      </rPr>
      <t xml:space="preserve">13%+</t>
    </r>
    <r>
      <rPr>
        <sz val="10"/>
        <color rgb="FF000000"/>
        <rFont val="WenQuanYi Zen Hei"/>
        <family val="2"/>
      </rPr>
      <t xml:space="preserve">；延寿计划影响 </t>
    </r>
    <r>
      <rPr>
        <sz val="10"/>
        <color rgb="FF000000"/>
        <rFont val="Arial"/>
        <family val="0"/>
        <charset val="1"/>
      </rPr>
      <t xml:space="preserve">&lt;2pct </t>
    </r>
    <r>
      <rPr>
        <sz val="10"/>
        <color rgb="FF000000"/>
        <rFont val="WenQuanYi Zen Hei"/>
        <family val="2"/>
      </rPr>
      <t xml:space="preserve">且带动手术量；</t>
    </r>
    <r>
      <rPr>
        <sz val="10"/>
        <color rgb="FF000000"/>
        <rFont val="Arial"/>
        <family val="0"/>
        <charset val="1"/>
      </rPr>
      <t xml:space="preserve">Ottava/Hugo </t>
    </r>
    <r>
      <rPr>
        <sz val="10"/>
        <color rgb="FF000000"/>
        <rFont val="WenQuanYi Zen Hei"/>
        <family val="2"/>
      </rPr>
      <t xml:space="preserve">份额 </t>
    </r>
    <r>
      <rPr>
        <sz val="10"/>
        <color rgb="FF000000"/>
        <rFont val="Arial"/>
        <family val="0"/>
        <charset val="1"/>
      </rPr>
      <t xml:space="preserve">&lt;5%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dV5 </t>
    </r>
    <r>
      <rPr>
        <sz val="10"/>
        <color rgb="FF000000"/>
        <rFont val="WenQuanYi Zen Hei"/>
        <family val="2"/>
      </rPr>
      <t xml:space="preserve">降本推高毛利率；估值修复至 </t>
    </r>
    <r>
      <rPr>
        <sz val="10"/>
        <color rgb="FF000000"/>
        <rFont val="Arial"/>
        <family val="0"/>
        <charset val="1"/>
      </rPr>
      <t xml:space="preserve">40x</t>
    </r>
  </si>
  <si>
    <r>
      <rPr>
        <sz val="10"/>
        <color rgb="FF000000"/>
        <rFont val="WenQuanYi Zen Hei"/>
        <family val="2"/>
      </rPr>
      <t xml:space="preserve">手术增速逐年降至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WenQuanYi Zen Hei"/>
        <family val="2"/>
      </rPr>
      <t xml:space="preserve">；延寿计划使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单台 </t>
    </r>
    <r>
      <rPr>
        <sz val="10"/>
        <color rgb="FF000000"/>
        <rFont val="Arial"/>
        <family val="0"/>
        <charset val="1"/>
      </rPr>
      <t xml:space="preserve">I&amp;A </t>
    </r>
    <r>
      <rPr>
        <sz val="10"/>
        <color rgb="FF000000"/>
        <rFont val="WenQuanYi Zen Hei"/>
        <family val="2"/>
      </rPr>
      <t xml:space="preserve">收入 −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WenQuanYi Zen Hei"/>
        <family val="2"/>
      </rPr>
      <t xml:space="preserve">；系统收入随换机放缓；估值向同业靠拢至 </t>
    </r>
    <r>
      <rPr>
        <sz val="10"/>
        <color rgb="FF000000"/>
        <rFont val="Arial"/>
        <family val="0"/>
        <charset val="1"/>
      </rPr>
      <t xml:space="preserve">30x</t>
    </r>
  </si>
  <si>
    <r>
      <rPr>
        <sz val="10"/>
        <color rgb="FF000000"/>
        <rFont val="WenQuanYi Zen Hei"/>
        <family val="2"/>
      </rPr>
      <t xml:space="preserve">美国增速降至个位数；延寿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竞争降价使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单台 </t>
    </r>
    <r>
      <rPr>
        <sz val="10"/>
        <color rgb="FF000000"/>
        <rFont val="Arial"/>
        <family val="0"/>
        <charset val="1"/>
      </rPr>
      <t xml:space="preserve">I&amp;A </t>
    </r>
    <r>
      <rPr>
        <sz val="10"/>
        <color rgb="FF000000"/>
        <rFont val="WenQuanYi Zen Hei"/>
        <family val="2"/>
      </rPr>
      <t xml:space="preserve">收入 −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WenQuanYi Zen Hei"/>
        <family val="2"/>
      </rPr>
      <t xml:space="preserve">；系统降价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份额流失；估值降至 </t>
    </r>
    <r>
      <rPr>
        <sz val="10"/>
        <color rgb="FF000000"/>
        <rFont val="Arial"/>
        <family val="0"/>
        <charset val="1"/>
      </rPr>
      <t xml:space="preserve">22x</t>
    </r>
    <r>
      <rPr>
        <sz val="10"/>
        <color rgb="FF000000"/>
        <rFont val="WenQuanYi Zen Hei"/>
        <family val="2"/>
      </rPr>
      <t xml:space="preserve">（接近强生）</t>
    </r>
  </si>
  <si>
    <r>
      <rPr>
        <b val="true"/>
        <sz val="10"/>
        <color rgb="FF1F4E79"/>
        <rFont val="Arial"/>
        <family val="0"/>
        <charset val="1"/>
      </rPr>
      <t xml:space="preserve">ISRG </t>
    </r>
    <r>
      <rPr>
        <b val="true"/>
        <sz val="10"/>
        <color rgb="FF1F4E79"/>
        <rFont val="WenQuanYi Zen Hei"/>
        <family val="2"/>
      </rPr>
      <t xml:space="preserve">历史财务与经营数据（百万美元，另注明者除外）</t>
    </r>
  </si>
  <si>
    <r>
      <rPr>
        <sz val="10"/>
        <color rgb="FF000000"/>
        <rFont val="WenQuanYi Zen Hei"/>
        <family val="2"/>
      </rPr>
      <t xml:space="preserve">来源：</t>
    </r>
    <r>
      <rPr>
        <sz val="10"/>
        <color rgb="FF000000"/>
        <rFont val="Arial"/>
        <family val="0"/>
        <charset val="1"/>
      </rPr>
      <t xml:space="preserve">SEC 10-K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FY2021–FY2025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Q2 2026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XBRL</t>
    </r>
    <r>
      <rPr>
        <sz val="10"/>
        <color rgb="FF000000"/>
        <rFont val="WenQuanYi Zen Hei"/>
        <family val="2"/>
      </rPr>
      <t xml:space="preserve">；蓝色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原始数据，黑色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计算</t>
    </r>
  </si>
  <si>
    <t xml:space="preserve">项目</t>
  </si>
  <si>
    <t xml:space="preserve">单位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</si>
  <si>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</si>
  <si>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</si>
  <si>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</si>
  <si>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</si>
  <si>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</si>
  <si>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H1 2025</t>
  </si>
  <si>
    <t xml:space="preserve">H1 2026</t>
  </si>
  <si>
    <r>
      <rPr>
        <b val="true"/>
        <sz val="10"/>
        <color rgb="FFFFFFFF"/>
        <rFont val="WenQuanYi Zen Hei"/>
        <family val="2"/>
      </rPr>
      <t xml:space="preserve">来源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备注</t>
    </r>
  </si>
  <si>
    <r>
      <rPr>
        <sz val="10"/>
        <color rgb="FF000000"/>
        <rFont val="WenQuanYi Zen Hei"/>
        <family val="2"/>
      </rPr>
      <t xml:space="preserve">器械与耗材（</t>
    </r>
    <r>
      <rPr>
        <sz val="10"/>
        <color rgb="FF000000"/>
        <rFont val="Arial"/>
        <family val="0"/>
        <charset val="1"/>
      </rPr>
      <t xml:space="preserve">I&amp;A</t>
    </r>
    <r>
      <rPr>
        <sz val="10"/>
        <color rgb="FF000000"/>
        <rFont val="WenQuanYi Zen Hei"/>
        <family val="2"/>
      </rPr>
      <t xml:space="preserve">）收入</t>
    </r>
  </si>
  <si>
    <t xml:space="preserve">$mm</t>
  </si>
  <si>
    <r>
      <rPr>
        <sz val="10"/>
        <color rgb="FF000000"/>
        <rFont val="Arial"/>
        <family val="0"/>
        <charset val="1"/>
      </rPr>
      <t xml:space="preserve">10-K </t>
    </r>
    <r>
      <rPr>
        <sz val="10"/>
        <color rgb="FF000000"/>
        <rFont val="WenQuanYi Zen Hei"/>
        <family val="2"/>
      </rPr>
      <t xml:space="preserve">收入分项；</t>
    </r>
    <r>
      <rPr>
        <sz val="10"/>
        <color rgb="FF000000"/>
        <rFont val="Arial"/>
        <family val="0"/>
        <charset val="1"/>
      </rPr>
      <t xml:space="preserve">2021–2022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StockAnalysis</t>
    </r>
    <r>
      <rPr>
        <sz val="10"/>
        <color rgb="FF000000"/>
        <rFont val="WenQuanYi Zen Hei"/>
        <family val="2"/>
      </rPr>
      <t xml:space="preserve">（与 </t>
    </r>
    <r>
      <rPr>
        <sz val="10"/>
        <color rgb="FF000000"/>
        <rFont val="Arial"/>
        <family val="0"/>
        <charset val="1"/>
      </rPr>
      <t xml:space="preserve">10-K </t>
    </r>
    <r>
      <rPr>
        <sz val="10"/>
        <color rgb="FF000000"/>
        <rFont val="WenQuanYi Zen Hei"/>
        <family val="2"/>
      </rPr>
      <t xml:space="preserve">一致）；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Q2 2026 </t>
    </r>
    <r>
      <rPr>
        <sz val="10"/>
        <color rgb="FF000000"/>
        <rFont val="WenQuanYi Zen Hei"/>
        <family val="2"/>
      </rPr>
      <t xml:space="preserve">新闻稿</t>
    </r>
  </si>
  <si>
    <t xml:space="preserve">系统收入</t>
  </si>
  <si>
    <r>
      <rPr>
        <sz val="10"/>
        <color rgb="FF000000"/>
        <rFont val="WenQuanYi Zen Hei"/>
        <family val="2"/>
      </rPr>
      <t xml:space="preserve">含经营租赁收入（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$874.3mm</t>
    </r>
    <r>
      <rPr>
        <sz val="10"/>
        <color rgb="FF000000"/>
        <rFont val="WenQuanYi Zen Hei"/>
        <family val="2"/>
      </rPr>
      <t xml:space="preserve">）</t>
    </r>
  </si>
  <si>
    <t xml:space="preserve">服务收入</t>
  </si>
  <si>
    <t xml:space="preserve">总收入</t>
  </si>
  <si>
    <r>
      <rPr>
        <sz val="10"/>
        <color rgb="FF000000"/>
        <rFont val="WenQuanYi Zen Hei"/>
        <family val="2"/>
      </rPr>
      <t xml:space="preserve">计算：</t>
    </r>
    <r>
      <rPr>
        <sz val="10"/>
        <color rgb="FF000000"/>
        <rFont val="Arial"/>
        <family val="0"/>
        <charset val="1"/>
      </rPr>
      <t xml:space="preserve">I&amp;A + </t>
    </r>
    <r>
      <rPr>
        <sz val="10"/>
        <color rgb="FF000000"/>
        <rFont val="WenQuanYi Zen Hei"/>
        <family val="2"/>
      </rPr>
      <t xml:space="preserve">系统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服务</t>
    </r>
  </si>
  <si>
    <t xml:space="preserve">毛利</t>
  </si>
  <si>
    <t xml:space="preserve">XBRL GrossProfit</t>
  </si>
  <si>
    <t xml:space="preserve">销售、管理费用</t>
  </si>
  <si>
    <t xml:space="preserve">XBRL</t>
  </si>
  <si>
    <t xml:space="preserve">研发费用</t>
  </si>
  <si>
    <t xml:space="preserve">运营费用合计</t>
  </si>
  <si>
    <r>
      <rPr>
        <sz val="10"/>
        <color rgb="FF000000"/>
        <rFont val="WenQuanYi Zen Hei"/>
        <family val="2"/>
      </rPr>
      <t xml:space="preserve">计算：销售管理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研发</t>
    </r>
  </si>
  <si>
    <r>
      <rPr>
        <sz val="10"/>
        <color rgb="FF000000"/>
        <rFont val="WenQuanYi Zen Hei"/>
        <family val="2"/>
      </rPr>
      <t xml:space="preserve">经营利润（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</si>
  <si>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计算：毛利 − 运营费用（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XBRL </t>
    </r>
    <r>
      <rPr>
        <sz val="10"/>
        <color rgb="FF000000"/>
        <rFont val="WenQuanYi Zen Hei"/>
        <family val="2"/>
      </rPr>
      <t xml:space="preserve">经营利润 </t>
    </r>
    <r>
      <rPr>
        <sz val="10"/>
        <color rgb="FF000000"/>
        <rFont val="Arial"/>
        <family val="0"/>
        <charset val="1"/>
      </rPr>
      <t xml:space="preserve">1,577.1</t>
    </r>
    <r>
      <rPr>
        <sz val="10"/>
        <color rgb="FF000000"/>
        <rFont val="WenQuanYi Zen Hei"/>
        <family val="2"/>
      </rPr>
      <t xml:space="preserve">，差额为其他经营项目）</t>
    </r>
  </si>
  <si>
    <t xml:space="preserve">利息及其他收入</t>
  </si>
  <si>
    <t xml:space="preserve">XBRL NonoperatingIncomeExpense</t>
  </si>
  <si>
    <t xml:space="preserve">税前利润</t>
  </si>
  <si>
    <t xml:space="preserve">所得税</t>
  </si>
  <si>
    <t xml:space="preserve">少数股东损益</t>
  </si>
  <si>
    <r>
      <rPr>
        <sz val="10"/>
        <color rgb="FF000000"/>
        <rFont val="Arial"/>
        <family val="0"/>
        <charset val="1"/>
      </rPr>
      <t xml:space="preserve">XBRL</t>
    </r>
    <r>
      <rPr>
        <sz val="10"/>
        <color rgb="FF000000"/>
        <rFont val="WenQuanYi Zen Hei"/>
        <family val="2"/>
      </rPr>
      <t xml:space="preserve">；复星合资公司</t>
    </r>
  </si>
  <si>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归母净利润</t>
    </r>
  </si>
  <si>
    <r>
      <rPr>
        <sz val="10"/>
        <color rgb="FF000000"/>
        <rFont val="Arial"/>
        <family val="0"/>
        <charset val="1"/>
      </rPr>
      <t xml:space="preserve">XBRL / </t>
    </r>
    <r>
      <rPr>
        <sz val="10"/>
        <color rgb="FF000000"/>
        <rFont val="WenQuanYi Zen Hei"/>
        <family val="2"/>
      </rPr>
      <t xml:space="preserve">新闻稿</t>
    </r>
  </si>
  <si>
    <t xml:space="preserve">稀释加权股本</t>
  </si>
  <si>
    <t xml:space="preserve">百万股</t>
  </si>
  <si>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稀释 </t>
    </r>
    <r>
      <rPr>
        <sz val="10"/>
        <color rgb="FF000000"/>
        <rFont val="Arial"/>
        <family val="0"/>
        <charset val="1"/>
      </rPr>
      <t xml:space="preserve">EPS</t>
    </r>
  </si>
  <si>
    <t xml:space="preserve">$</t>
  </si>
  <si>
    <t xml:space="preserve">公司披露值</t>
  </si>
  <si>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稀释 </t>
    </r>
    <r>
      <rPr>
        <sz val="10"/>
        <color rgb="FF000000"/>
        <rFont val="Arial"/>
        <family val="0"/>
        <charset val="1"/>
      </rPr>
      <t xml:space="preserve">EPS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</si>
  <si>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StockAnalysis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Q2 2026 </t>
    </r>
    <r>
      <rPr>
        <sz val="10"/>
        <color rgb="FF000000"/>
        <rFont val="WenQuanYi Zen Hei"/>
        <family val="2"/>
      </rPr>
      <t xml:space="preserve">新闻稿调节表</t>
    </r>
  </si>
  <si>
    <r>
      <rPr>
        <sz val="10"/>
        <color rgb="FF000000"/>
        <rFont val="WenQuanYi Zen Hei"/>
        <family val="2"/>
      </rPr>
      <t xml:space="preserve">股权激励费用（</t>
    </r>
    <r>
      <rPr>
        <sz val="10"/>
        <color rgb="FF000000"/>
        <rFont val="Arial"/>
        <family val="0"/>
        <charset val="1"/>
      </rPr>
      <t xml:space="preserve">SBC</t>
    </r>
    <r>
      <rPr>
        <sz val="10"/>
        <color rgb="FF000000"/>
        <rFont val="WenQuanYi Zen Hei"/>
        <family val="2"/>
      </rPr>
      <t xml:space="preserve">）</t>
    </r>
  </si>
  <si>
    <t xml:space="preserve">现金流量表</t>
  </si>
  <si>
    <t xml:space="preserve">经营现金流</t>
  </si>
  <si>
    <t xml:space="preserve">资本开支</t>
  </si>
  <si>
    <t xml:space="preserve">XBRL PaymentsToAcquireProductiveAssets</t>
  </si>
  <si>
    <t xml:space="preserve">自由现金流</t>
  </si>
  <si>
    <t xml:space="preserve">计算：经营现金流 − 资本开支</t>
  </si>
  <si>
    <r>
      <rPr>
        <sz val="10"/>
        <color rgb="FF000000"/>
        <rFont val="Arial"/>
        <family val="0"/>
        <charset val="1"/>
      </rPr>
      <t xml:space="preserve">da Vinci </t>
    </r>
    <r>
      <rPr>
        <sz val="10"/>
        <color rgb="FF000000"/>
        <rFont val="WenQuanYi Zen Hei"/>
        <family val="2"/>
      </rPr>
      <t xml:space="preserve">手术量</t>
    </r>
  </si>
  <si>
    <t xml:space="preserve">千台</t>
  </si>
  <si>
    <t xml:space="preserve">10-K / 10-Q</t>
  </si>
  <si>
    <r>
      <rPr>
        <sz val="10"/>
        <color rgb="FF000000"/>
        <rFont val="Arial"/>
        <family val="0"/>
        <charset val="1"/>
      </rPr>
      <t xml:space="preserve">da Vinci </t>
    </r>
    <r>
      <rPr>
        <sz val="10"/>
        <color rgb="FF000000"/>
        <rFont val="WenQuanYi Zen Hei"/>
        <family val="2"/>
      </rPr>
      <t xml:space="preserve">装机量（期末）</t>
    </r>
  </si>
  <si>
    <t xml:space="preserve">台</t>
  </si>
  <si>
    <r>
      <rPr>
        <sz val="10"/>
        <color rgb="FF000000"/>
        <rFont val="Arial"/>
        <family val="0"/>
        <charset val="1"/>
      </rPr>
      <t xml:space="preserve">2020 </t>
    </r>
    <r>
      <rPr>
        <sz val="10"/>
        <color rgb="FF000000"/>
        <rFont val="WenQuanYi Zen Hei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5,989 </t>
    </r>
    <r>
      <rPr>
        <sz val="10"/>
        <color rgb="FF000000"/>
        <rFont val="WenQuanYi Zen Hei"/>
        <family val="2"/>
      </rPr>
      <t xml:space="preserve">台；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列为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</si>
  <si>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da Vinci </t>
    </r>
    <r>
      <rPr>
        <sz val="10"/>
        <color rgb="FF000000"/>
        <rFont val="WenQuanYi Zen Hei"/>
        <family val="2"/>
      </rPr>
      <t xml:space="preserve">投放量</t>
    </r>
  </si>
  <si>
    <t xml:space="preserve">其中：换机投放</t>
  </si>
  <si>
    <t xml:space="preserve">派生指标（公式）</t>
  </si>
  <si>
    <t xml:space="preserve">收入增速</t>
  </si>
  <si>
    <r>
      <rPr>
        <sz val="10"/>
        <color rgb="FF000000"/>
        <rFont val="Arial"/>
        <family val="0"/>
        <charset val="1"/>
      </rPr>
      <t xml:space="preserve">2021 </t>
    </r>
    <r>
      <rPr>
        <sz val="10"/>
        <color rgb="FF000000"/>
        <rFont val="WenQuanYi Zen Hei"/>
        <family val="2"/>
      </rPr>
      <t xml:space="preserve">增速基于 </t>
    </r>
    <r>
      <rPr>
        <sz val="10"/>
        <color rgb="FF000000"/>
        <rFont val="Arial"/>
        <family val="0"/>
        <charset val="1"/>
      </rPr>
      <t xml:space="preserve">2020 </t>
    </r>
    <r>
      <rPr>
        <sz val="10"/>
        <color rgb="FF000000"/>
        <rFont val="WenQuanYi Zen Hei"/>
        <family val="2"/>
      </rPr>
      <t xml:space="preserve">年收入 </t>
    </r>
    <r>
      <rPr>
        <sz val="10"/>
        <color rgb="FF000000"/>
        <rFont val="Arial"/>
        <family val="0"/>
        <charset val="1"/>
      </rPr>
      <t xml:space="preserve">$4,358.4mm</t>
    </r>
    <r>
      <rPr>
        <sz val="10"/>
        <color rgb="FF000000"/>
        <rFont val="WenQuanYi Zen Hei"/>
        <family val="2"/>
      </rPr>
      <t xml:space="preserve">；手术量基于 </t>
    </r>
    <r>
      <rPr>
        <sz val="10"/>
        <color rgb="FF000000"/>
        <rFont val="Arial"/>
        <family val="0"/>
        <charset val="1"/>
      </rPr>
      <t xml:space="preserve">2020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1,243 </t>
    </r>
    <r>
      <rPr>
        <sz val="10"/>
        <color rgb="FF000000"/>
        <rFont val="WenQuanYi Zen Hei"/>
        <family val="2"/>
      </rPr>
      <t xml:space="preserve">千台；装机基于 </t>
    </r>
    <r>
      <rPr>
        <sz val="10"/>
        <color rgb="FF000000"/>
        <rFont val="Arial"/>
        <family val="0"/>
        <charset val="1"/>
      </rPr>
      <t xml:space="preserve">2020 </t>
    </r>
    <r>
      <rPr>
        <sz val="10"/>
        <color rgb="FF000000"/>
        <rFont val="WenQuanYi Zen Hei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5,989 </t>
    </r>
    <r>
      <rPr>
        <sz val="10"/>
        <color rgb="FF000000"/>
        <rFont val="WenQuanYi Zen Hei"/>
        <family val="2"/>
      </rPr>
      <t xml:space="preserve">台</t>
    </r>
  </si>
  <si>
    <t xml:space="preserve">毛利率</t>
  </si>
  <si>
    <t xml:space="preserve">经营利润率</t>
  </si>
  <si>
    <t xml:space="preserve">净利率</t>
  </si>
  <si>
    <t xml:space="preserve">有效税率</t>
  </si>
  <si>
    <r>
      <rPr>
        <sz val="10"/>
        <color rgb="FF000000"/>
        <rFont val="Arial"/>
        <family val="0"/>
        <charset val="1"/>
      </rPr>
      <t xml:space="preserve">SBC </t>
    </r>
    <r>
      <rPr>
        <sz val="10"/>
        <color rgb="FF000000"/>
        <rFont val="WenQuanYi Zen Hei"/>
        <family val="2"/>
      </rPr>
      <t xml:space="preserve">占收入</t>
    </r>
  </si>
  <si>
    <t xml:space="preserve">手术量增速</t>
  </si>
  <si>
    <r>
      <rPr>
        <sz val="10"/>
        <color rgb="FF000000"/>
        <rFont val="WenQuanYi Zen Hei"/>
        <family val="2"/>
      </rPr>
      <t xml:space="preserve">单台手术 </t>
    </r>
    <r>
      <rPr>
        <sz val="10"/>
        <color rgb="FF000000"/>
        <rFont val="Arial"/>
        <family val="0"/>
        <charset val="1"/>
      </rPr>
      <t xml:space="preserve">I&amp;A </t>
    </r>
    <r>
      <rPr>
        <sz val="10"/>
        <color rgb="FF000000"/>
        <rFont val="WenQuanYi Zen Hei"/>
        <family val="2"/>
      </rPr>
      <t xml:space="preserve">收入（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，分母仅 </t>
    </r>
    <r>
      <rPr>
        <sz val="10"/>
        <color rgb="FF000000"/>
        <rFont val="Arial"/>
        <family val="0"/>
        <charset val="1"/>
      </rPr>
      <t xml:space="preserve">da Vinci</t>
    </r>
    <r>
      <rPr>
        <sz val="10"/>
        <color rgb="FF000000"/>
        <rFont val="WenQuanYi Zen Hei"/>
        <family val="2"/>
      </rPr>
      <t xml:space="preserve">）</t>
    </r>
  </si>
  <si>
    <t xml:space="preserve">装机量增速</t>
  </si>
  <si>
    <t xml:space="preserve">装机净增（台）</t>
  </si>
  <si>
    <r>
      <rPr>
        <b val="true"/>
        <sz val="10"/>
        <color rgb="FF1F4E79"/>
        <rFont val="WenQuanYi Zen Hei"/>
        <family val="2"/>
      </rPr>
      <t xml:space="preserve">估值假设（蓝色 </t>
    </r>
    <r>
      <rPr>
        <b val="true"/>
        <sz val="10"/>
        <color rgb="FF1F4E79"/>
        <rFont val="Arial"/>
        <family val="0"/>
        <charset val="1"/>
      </rPr>
      <t xml:space="preserve">= </t>
    </r>
    <r>
      <rPr>
        <b val="true"/>
        <sz val="10"/>
        <color rgb="FF1F4E79"/>
        <rFont val="WenQuanYi Zen Hei"/>
        <family val="2"/>
      </rPr>
      <t xml:space="preserve">输入；黄色底 </t>
    </r>
    <r>
      <rPr>
        <b val="true"/>
        <sz val="10"/>
        <color rgb="FF1F4E79"/>
        <rFont val="Arial"/>
        <family val="0"/>
        <charset val="1"/>
      </rPr>
      <t xml:space="preserve">= </t>
    </r>
    <r>
      <rPr>
        <b val="true"/>
        <sz val="10"/>
        <color rgb="FF1F4E79"/>
        <rFont val="WenQuanYi Zen Hei"/>
        <family val="2"/>
      </rPr>
      <t xml:space="preserve">关键情景参数，可直接修改）</t>
    </r>
  </si>
  <si>
    <t xml:space="preserve">全局参数</t>
  </si>
  <si>
    <t xml:space="preserve">数值</t>
  </si>
  <si>
    <r>
      <rPr>
        <b val="true"/>
        <sz val="10"/>
        <color rgb="FFFFFFFF"/>
        <rFont val="WenQuanYi Zen Hei"/>
        <family val="2"/>
      </rPr>
      <t xml:space="preserve">说明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来源</t>
    </r>
  </si>
  <si>
    <r>
      <rPr>
        <sz val="10"/>
        <color rgb="FF000000"/>
        <rFont val="Arial"/>
        <family val="0"/>
        <charset val="1"/>
      </rPr>
      <t xml:space="preserve">Yahoo / StockAnalysis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WenQuanYi Zen Hei"/>
        <family val="2"/>
      </rPr>
      <t xml:space="preserve">收盘</t>
    </r>
  </si>
  <si>
    <t xml:space="preserve">总股本（百万股）</t>
  </si>
  <si>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WenQuanYi Zen Hei"/>
        <family val="2"/>
      </rPr>
      <t xml:space="preserve">封面，</t>
    </r>
    <r>
      <rPr>
        <sz val="10"/>
        <color rgb="FF000000"/>
        <rFont val="Arial"/>
        <family val="0"/>
        <charset val="1"/>
      </rPr>
      <t xml:space="preserve">2026-07-16</t>
    </r>
  </si>
  <si>
    <r>
      <rPr>
        <sz val="10"/>
        <color rgb="FF000000"/>
        <rFont val="WenQuanYi Zen Hei"/>
        <family val="2"/>
      </rPr>
      <t xml:space="preserve">资本成本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（折现率）</t>
    </r>
  </si>
  <si>
    <r>
      <rPr>
        <sz val="10"/>
        <color rgb="FF000000"/>
        <rFont val="WenQuanYi Zen Hei"/>
        <family val="2"/>
      </rPr>
      <t xml:space="preserve">美元口径：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美债 </t>
    </r>
    <r>
      <rPr>
        <sz val="10"/>
        <color rgb="FF000000"/>
        <rFont val="Arial"/>
        <family val="0"/>
        <charset val="1"/>
      </rPr>
      <t xml:space="preserve">5.19% + ERP </t>
    </r>
    <r>
      <rPr>
        <sz val="10"/>
        <color rgb="FF000000"/>
        <rFont val="WenQuanYi Zen Hei"/>
        <family val="2"/>
      </rPr>
      <t xml:space="preserve">约 </t>
    </r>
    <r>
      <rPr>
        <sz val="10"/>
        <color rgb="FF000000"/>
        <rFont val="Arial"/>
        <family val="0"/>
        <charset val="1"/>
      </rPr>
      <t xml:space="preserve">4.8%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β=1.0</t>
    </r>
  </si>
  <si>
    <t xml:space="preserve">持有期（年）</t>
  </si>
  <si>
    <r>
      <rPr>
        <sz val="10"/>
        <color rgb="FF000000"/>
        <rFont val="WenQuanYi Zen Hei"/>
        <family val="2"/>
      </rPr>
      <t xml:space="preserve">目标价对应 </t>
    </r>
    <r>
      <rPr>
        <sz val="10"/>
        <color rgb="FF000000"/>
        <rFont val="Arial"/>
        <family val="0"/>
        <charset val="1"/>
      </rPr>
      <t xml:space="preserve">2029E EPS</t>
    </r>
    <r>
      <rPr>
        <sz val="10"/>
        <color rgb="FF000000"/>
        <rFont val="WenQuanYi Zen Hei"/>
        <family val="2"/>
      </rPr>
      <t xml:space="preserve">，约三年后</t>
    </r>
  </si>
  <si>
    <t xml:space="preserve">安全边际</t>
  </si>
  <si>
    <r>
      <rPr>
        <sz val="10"/>
        <color rgb="FF000000"/>
        <rFont val="WenQuanYi Zen Hei"/>
        <family val="2"/>
      </rPr>
      <t xml:space="preserve">买入区间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折现价值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安全边际）</t>
    </r>
  </si>
  <si>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有效税率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</si>
  <si>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13.1%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2026 17.3%</t>
    </r>
    <r>
      <rPr>
        <sz val="10"/>
        <color rgb="FF000000"/>
        <rFont val="WenQuanYi Zen Hei"/>
        <family val="2"/>
      </rPr>
      <t xml:space="preserve">（含股权激励超额税收优惠）；取 </t>
    </r>
    <r>
      <rPr>
        <sz val="10"/>
        <color rgb="FF000000"/>
        <rFont val="Arial"/>
        <family val="0"/>
        <charset val="1"/>
      </rPr>
      <t xml:space="preserve">19% </t>
    </r>
    <r>
      <rPr>
        <sz val="10"/>
        <color rgb="FF000000"/>
        <rFont val="WenQuanYi Zen Hei"/>
        <family val="2"/>
      </rPr>
      <t xml:space="preserve">偏保守</t>
    </r>
  </si>
  <si>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税率</t>
    </r>
  </si>
  <si>
    <r>
      <rPr>
        <sz val="10"/>
        <color rgb="FF000000"/>
        <rFont val="WenQuanYi Zen Hei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22%–23%</t>
    </r>
  </si>
  <si>
    <r>
      <rPr>
        <sz val="10"/>
        <color rgb="FF000000"/>
        <rFont val="WenQuanYi Zen Hei"/>
        <family val="2"/>
      </rPr>
      <t xml:space="preserve">少数股东损益（</t>
    </r>
    <r>
      <rPr>
        <sz val="10"/>
        <color rgb="FF000000"/>
        <rFont val="Arial"/>
        <family val="0"/>
        <charset val="1"/>
      </rPr>
      <t xml:space="preserve">$mm/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</si>
  <si>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$20.6mm</t>
    </r>
  </si>
  <si>
    <r>
      <rPr>
        <sz val="10"/>
        <color rgb="FF000000"/>
        <rFont val="WenQuanYi Zen Hei"/>
        <family val="2"/>
      </rPr>
      <t xml:space="preserve">其他非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调整（</t>
    </r>
    <r>
      <rPr>
        <sz val="10"/>
        <color rgb="FF000000"/>
        <rFont val="Arial"/>
        <family val="0"/>
        <charset val="1"/>
      </rPr>
      <t xml:space="preserve">$mm/</t>
    </r>
    <r>
      <rPr>
        <sz val="10"/>
        <color rgb="FF000000"/>
        <rFont val="WenQuanYi Zen Hei"/>
        <family val="2"/>
      </rPr>
      <t xml:space="preserve">年，税前）</t>
    </r>
  </si>
  <si>
    <r>
      <rPr>
        <sz val="10"/>
        <color rgb="FF000000"/>
        <rFont val="WenQuanYi Zen Hei"/>
        <family val="2"/>
      </rPr>
      <t xml:space="preserve">无形资产摊销、收购相关等；</t>
    </r>
    <r>
      <rPr>
        <sz val="10"/>
        <color rgb="FF000000"/>
        <rFont val="Arial"/>
        <family val="0"/>
        <charset val="1"/>
      </rPr>
      <t xml:space="preserve">H1 2026 </t>
    </r>
    <r>
      <rPr>
        <sz val="10"/>
        <color rgb="FF000000"/>
        <rFont val="WenQuanYi Zen Hei"/>
        <family val="2"/>
      </rPr>
      <t xml:space="preserve">约 </t>
    </r>
    <r>
      <rPr>
        <sz val="10"/>
        <color rgb="FF000000"/>
        <rFont val="Arial"/>
        <family val="0"/>
        <charset val="1"/>
      </rPr>
      <t xml:space="preserve">$49mm</t>
    </r>
  </si>
  <si>
    <r>
      <rPr>
        <sz val="10"/>
        <color rgb="FF000000"/>
        <rFont val="Arial"/>
        <family val="0"/>
        <charset val="1"/>
      </rPr>
      <t xml:space="preserve">2026E </t>
    </r>
    <r>
      <rPr>
        <sz val="10"/>
        <color rgb="FF000000"/>
        <rFont val="WenQuanYi Zen Hei"/>
        <family val="2"/>
      </rPr>
      <t xml:space="preserve">股权激励（</t>
    </r>
    <r>
      <rPr>
        <sz val="10"/>
        <color rgb="FF000000"/>
        <rFont val="Arial"/>
        <family val="0"/>
        <charset val="1"/>
      </rPr>
      <t xml:space="preserve">$mm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</si>
  <si>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$880–900mm </t>
    </r>
    <r>
      <rPr>
        <sz val="10"/>
        <color rgb="FF000000"/>
        <rFont val="WenQuanYi Zen Hei"/>
        <family val="2"/>
      </rPr>
      <t xml:space="preserve">中值</t>
    </r>
  </si>
  <si>
    <r>
      <rPr>
        <sz val="10"/>
        <color rgb="FF000000"/>
        <rFont val="WenQuanYi Zen Hei"/>
        <family val="2"/>
      </rPr>
      <t xml:space="preserve">股权激励年增速（</t>
    </r>
    <r>
      <rPr>
        <sz val="10"/>
        <color rgb="FF000000"/>
        <rFont val="Arial"/>
        <family val="0"/>
        <charset val="1"/>
      </rPr>
      <t xml:space="preserve">2027E </t>
    </r>
    <r>
      <rPr>
        <sz val="10"/>
        <color rgb="FF000000"/>
        <rFont val="WenQuanYi Zen Hei"/>
        <family val="2"/>
      </rPr>
      <t xml:space="preserve">起）</t>
    </r>
  </si>
  <si>
    <t xml:space="preserve">估计</t>
  </si>
  <si>
    <r>
      <rPr>
        <sz val="10"/>
        <color rgb="FF000000"/>
        <rFont val="WenQuanYi Zen Hei"/>
        <family val="2"/>
      </rPr>
      <t xml:space="preserve">一致预期：</t>
    </r>
    <r>
      <rPr>
        <sz val="10"/>
        <color rgb="FF000000"/>
        <rFont val="Arial"/>
        <family val="0"/>
        <charset val="1"/>
      </rPr>
      <t xml:space="preserve">2026E </t>
    </r>
    <r>
      <rPr>
        <sz val="10"/>
        <color rgb="FF000000"/>
        <rFont val="WenQuanYi Zen Hei"/>
        <family val="2"/>
      </rPr>
      <t xml:space="preserve">收入（</t>
    </r>
    <r>
      <rPr>
        <sz val="10"/>
        <color rgb="FF000000"/>
        <rFont val="Arial"/>
        <family val="0"/>
        <charset val="1"/>
      </rPr>
      <t xml:space="preserve">$mm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</si>
  <si>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StockAnalysis / S&amp;P Global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2026-10-13</t>
    </r>
  </si>
  <si>
    <r>
      <rPr>
        <sz val="10"/>
        <color rgb="FF000000"/>
        <rFont val="WenQuanYi Zen Hei"/>
        <family val="2"/>
      </rPr>
      <t xml:space="preserve">一致预期：</t>
    </r>
    <r>
      <rPr>
        <sz val="10"/>
        <color rgb="FF000000"/>
        <rFont val="Arial"/>
        <family val="0"/>
        <charset val="1"/>
      </rPr>
      <t xml:space="preserve">2026E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</si>
  <si>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同上，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WenQuanYi Zen Hei"/>
        <family val="2"/>
      </rPr>
      <t xml:space="preserve">位分析师</t>
    </r>
  </si>
  <si>
    <r>
      <rPr>
        <sz val="10"/>
        <color rgb="FF000000"/>
        <rFont val="WenQuanYi Zen Hei"/>
        <family val="2"/>
      </rPr>
      <t xml:space="preserve">一致预期：</t>
    </r>
    <r>
      <rPr>
        <sz val="10"/>
        <color rgb="FF000000"/>
        <rFont val="Arial"/>
        <family val="0"/>
        <charset val="1"/>
      </rPr>
      <t xml:space="preserve">2027E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</si>
  <si>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t xml:space="preserve">同上</t>
  </si>
  <si>
    <r>
      <rPr>
        <b val="true"/>
        <sz val="10"/>
        <rFont val="WenQuanYi Zen Hei"/>
        <family val="2"/>
      </rPr>
      <t xml:space="preserve">利息及其他收入（</t>
    </r>
    <r>
      <rPr>
        <b val="true"/>
        <sz val="10"/>
        <rFont val="Arial"/>
        <family val="0"/>
        <charset val="1"/>
      </rPr>
      <t xml:space="preserve">$mm</t>
    </r>
    <r>
      <rPr>
        <b val="true"/>
        <sz val="10"/>
        <rFont val="WenQuanYi Zen Hei"/>
        <family val="2"/>
      </rPr>
      <t xml:space="preserve">，三情景共用）</t>
    </r>
  </si>
  <si>
    <t xml:space="preserve">2026E</t>
  </si>
  <si>
    <t xml:space="preserve">2027E</t>
  </si>
  <si>
    <t xml:space="preserve">2028E</t>
  </si>
  <si>
    <t xml:space="preserve">2029E</t>
  </si>
  <si>
    <t xml:space="preserve">说明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</si>
  <si>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$315–335mm</t>
    </r>
    <r>
      <rPr>
        <sz val="10"/>
        <color rgb="FF000000"/>
        <rFont val="WenQuanYi Zen Hei"/>
        <family val="2"/>
      </rPr>
      <t xml:space="preserve">；此后随现金增加小幅上升（估计）</t>
    </r>
  </si>
  <si>
    <r>
      <rPr>
        <b val="true"/>
        <sz val="10"/>
        <color rgb="FF1F4E79"/>
        <rFont val="WenQuanYi Zen Hei"/>
        <family val="2"/>
      </rPr>
      <t xml:space="preserve">乐观情景：美国手术增速回到 </t>
    </r>
    <r>
      <rPr>
        <b val="true"/>
        <sz val="10"/>
        <color rgb="FF1F4E79"/>
        <rFont val="Arial"/>
        <family val="0"/>
        <charset val="1"/>
      </rPr>
      <t xml:space="preserve">13%+</t>
    </r>
    <r>
      <rPr>
        <b val="true"/>
        <sz val="10"/>
        <color rgb="FF1F4E79"/>
        <rFont val="WenQuanYi Zen Hei"/>
        <family val="2"/>
      </rPr>
      <t xml:space="preserve">；延寿计划影响 </t>
    </r>
    <r>
      <rPr>
        <b val="true"/>
        <sz val="10"/>
        <color rgb="FF1F4E79"/>
        <rFont val="Arial"/>
        <family val="0"/>
        <charset val="1"/>
      </rPr>
      <t xml:space="preserve">&lt;2pct </t>
    </r>
    <r>
      <rPr>
        <b val="true"/>
        <sz val="10"/>
        <color rgb="FF1F4E79"/>
        <rFont val="WenQuanYi Zen Hei"/>
        <family val="2"/>
      </rPr>
      <t xml:space="preserve">且带动手术量；</t>
    </r>
    <r>
      <rPr>
        <b val="true"/>
        <sz val="10"/>
        <color rgb="FF1F4E79"/>
        <rFont val="Arial"/>
        <family val="0"/>
        <charset val="1"/>
      </rPr>
      <t xml:space="preserve">Ottava/Hugo </t>
    </r>
    <r>
      <rPr>
        <b val="true"/>
        <sz val="10"/>
        <color rgb="FF1F4E79"/>
        <rFont val="WenQuanYi Zen Hei"/>
        <family val="2"/>
      </rPr>
      <t xml:space="preserve">份额 </t>
    </r>
    <r>
      <rPr>
        <b val="true"/>
        <sz val="10"/>
        <color rgb="FF1F4E79"/>
        <rFont val="Arial"/>
        <family val="0"/>
        <charset val="1"/>
      </rPr>
      <t xml:space="preserve">&lt;5%</t>
    </r>
    <r>
      <rPr>
        <b val="true"/>
        <sz val="10"/>
        <color rgb="FF1F4E79"/>
        <rFont val="WenQuanYi Zen Hei"/>
        <family val="2"/>
      </rPr>
      <t xml:space="preserve">；</t>
    </r>
    <r>
      <rPr>
        <b val="true"/>
        <sz val="10"/>
        <color rgb="FF1F4E79"/>
        <rFont val="Arial"/>
        <family val="0"/>
        <charset val="1"/>
      </rPr>
      <t xml:space="preserve">dV5 </t>
    </r>
    <r>
      <rPr>
        <b val="true"/>
        <sz val="10"/>
        <color rgb="FF1F4E79"/>
        <rFont val="WenQuanYi Zen Hei"/>
        <family val="2"/>
      </rPr>
      <t xml:space="preserve">降本推高毛利率；估值修复至 </t>
    </r>
    <r>
      <rPr>
        <b val="true"/>
        <sz val="10"/>
        <color rgb="FF1F4E79"/>
        <rFont val="Arial"/>
        <family val="0"/>
        <charset val="1"/>
      </rPr>
      <t xml:space="preserve">40x</t>
    </r>
  </si>
  <si>
    <t xml:space="preserve">驱动因子</t>
  </si>
  <si>
    <r>
      <rPr>
        <sz val="10"/>
        <color rgb="FF000000"/>
        <rFont val="WenQuanYi Zen Hei"/>
        <family val="2"/>
      </rPr>
      <t xml:space="preserve">单值（填在 </t>
    </r>
    <r>
      <rPr>
        <sz val="10"/>
        <color rgb="FF000000"/>
        <rFont val="Arial"/>
        <family val="0"/>
        <charset val="1"/>
      </rPr>
      <t xml:space="preserve">2026E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</si>
  <si>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2029E </t>
    </r>
    <r>
      <rPr>
        <sz val="10"/>
        <color rgb="FF000000"/>
        <rFont val="WenQuanYi Zen Hei"/>
        <family val="2"/>
      </rPr>
      <t xml:space="preserve">退出 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（非 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WenQuanYi Zen Hei"/>
        <family val="2"/>
      </rPr>
      <t xml:space="preserve">，倍）</t>
    </r>
  </si>
  <si>
    <r>
      <rPr>
        <sz val="10"/>
        <color rgb="FF000000"/>
        <rFont val="Arial"/>
        <family val="0"/>
        <charset val="1"/>
      </rPr>
      <t xml:space="preserve">da Vinci </t>
    </r>
    <r>
      <rPr>
        <sz val="10"/>
        <color rgb="FF000000"/>
        <rFont val="WenQuanYi Zen Hei"/>
        <family val="2"/>
      </rPr>
      <t xml:space="preserve">手术量增速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</si>
  <si>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13.5%–15.5%</t>
    </r>
    <r>
      <rPr>
        <sz val="10"/>
        <color rgb="FF000000"/>
        <rFont val="WenQuanYi Zen Hei"/>
        <family val="2"/>
      </rPr>
      <t xml:space="preserve">，接近中值</t>
    </r>
  </si>
  <si>
    <r>
      <rPr>
        <sz val="10"/>
        <color rgb="FF000000"/>
        <rFont val="WenQuanYi Zen Hei"/>
        <family val="2"/>
      </rPr>
      <t xml:space="preserve">单台手术 </t>
    </r>
    <r>
      <rPr>
        <sz val="10"/>
        <color rgb="FF000000"/>
        <rFont val="Arial"/>
        <family val="0"/>
        <charset val="1"/>
      </rPr>
      <t xml:space="preserve">I&amp;A </t>
    </r>
    <r>
      <rPr>
        <sz val="10"/>
        <color rgb="FF000000"/>
        <rFont val="WenQuanYi Zen Hei"/>
        <family val="2"/>
      </rPr>
      <t xml:space="preserve">收入变化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</si>
  <si>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起含延寿计划与竞争降价影响（估计）</t>
    </r>
  </si>
  <si>
    <r>
      <rPr>
        <sz val="10"/>
        <color rgb="FF000000"/>
        <rFont val="Arial"/>
        <family val="0"/>
        <charset val="1"/>
      </rPr>
      <t xml:space="preserve">da Vinci </t>
    </r>
    <r>
      <rPr>
        <sz val="10"/>
        <color rgb="FF000000"/>
        <rFont val="WenQuanYi Zen Hei"/>
        <family val="2"/>
      </rPr>
      <t xml:space="preserve">装机量增速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</si>
  <si>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12.2%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H1 2026 </t>
    </r>
    <r>
      <rPr>
        <sz val="10"/>
        <color rgb="FF000000"/>
        <rFont val="WenQuanYi Zen Hei"/>
        <family val="2"/>
      </rPr>
      <t xml:space="preserve">同比 </t>
    </r>
    <r>
      <rPr>
        <sz val="10"/>
        <color rgb="FF000000"/>
        <rFont val="Arial"/>
        <family val="0"/>
        <charset val="1"/>
      </rPr>
      <t xml:space="preserve">11.7%</t>
    </r>
  </si>
  <si>
    <t xml:space="preserve">单台服务收入变化</t>
  </si>
  <si>
    <r>
      <rPr>
        <sz val="10"/>
        <color rgb="FF000000"/>
        <rFont val="Arial"/>
        <family val="0"/>
        <charset val="1"/>
      </rPr>
      <t xml:space="preserve">dV5 </t>
    </r>
    <r>
      <rPr>
        <sz val="10"/>
        <color rgb="FF000000"/>
        <rFont val="WenQuanYi Zen Hei"/>
        <family val="2"/>
      </rPr>
      <t xml:space="preserve">服务合同更贵；竞争下续约折扣</t>
    </r>
  </si>
  <si>
    <t xml:space="preserve">系统收入增速</t>
  </si>
  <si>
    <r>
      <rPr>
        <sz val="10"/>
        <color rgb="FF000000"/>
        <rFont val="Arial"/>
        <family val="0"/>
        <charset val="1"/>
      </rPr>
      <t xml:space="preserve">H1 2026 +21.7%</t>
    </r>
    <r>
      <rPr>
        <sz val="10"/>
        <color rgb="FF000000"/>
        <rFont val="WenQuanYi Zen Hei"/>
        <family val="2"/>
      </rPr>
      <t xml:space="preserve">；租赁占比上升、换机周期、降价</t>
    </r>
  </si>
  <si>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</si>
  <si>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H1 2026 </t>
    </r>
    <r>
      <rPr>
        <sz val="10"/>
        <color rgb="FF000000"/>
        <rFont val="WenQuanYi Zen Hei"/>
        <family val="2"/>
      </rPr>
      <t xml:space="preserve">为 </t>
    </r>
    <r>
      <rPr>
        <sz val="10"/>
        <color rgb="FF000000"/>
        <rFont val="Arial"/>
        <family val="0"/>
        <charset val="1"/>
      </rPr>
      <t xml:space="preserve">66.9%</t>
    </r>
    <r>
      <rPr>
        <sz val="10"/>
        <color rgb="FF000000"/>
        <rFont val="WenQuanYi Zen Hei"/>
        <family val="2"/>
      </rPr>
      <t xml:space="preserve">；非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68%–69%</t>
    </r>
  </si>
  <si>
    <t xml:space="preserve">运营费用增速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</si>
  <si>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+11%–13%</t>
    </r>
  </si>
  <si>
    <t xml:space="preserve">稀释股本变化</t>
  </si>
  <si>
    <r>
      <rPr>
        <sz val="10"/>
        <color rgb="FF000000"/>
        <rFont val="WenQuanYi Zen Hei"/>
        <family val="2"/>
      </rPr>
      <t xml:space="preserve">回购净缩股；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年按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实际约 −</t>
    </r>
    <r>
      <rPr>
        <sz val="10"/>
        <color rgb="FF000000"/>
        <rFont val="Arial"/>
        <family val="0"/>
        <charset val="1"/>
      </rPr>
      <t xml:space="preserve">1.4%</t>
    </r>
  </si>
  <si>
    <r>
      <rPr>
        <b val="true"/>
        <sz val="10"/>
        <color rgb="FF1F4E79"/>
        <rFont val="WenQuanYi Zen Hei"/>
        <family val="2"/>
      </rPr>
      <t xml:space="preserve">基准情景：手术增速逐年降至 </t>
    </r>
    <r>
      <rPr>
        <b val="true"/>
        <sz val="10"/>
        <color rgb="FF1F4E79"/>
        <rFont val="Arial"/>
        <family val="0"/>
        <charset val="1"/>
      </rPr>
      <t xml:space="preserve">11%</t>
    </r>
    <r>
      <rPr>
        <b val="true"/>
        <sz val="10"/>
        <color rgb="FF1F4E79"/>
        <rFont val="WenQuanYi Zen Hei"/>
        <family val="2"/>
      </rPr>
      <t xml:space="preserve">；延寿计划使 </t>
    </r>
    <r>
      <rPr>
        <b val="true"/>
        <sz val="10"/>
        <color rgb="FF1F4E79"/>
        <rFont val="Arial"/>
        <family val="0"/>
        <charset val="1"/>
      </rPr>
      <t xml:space="preserve">2027 </t>
    </r>
    <r>
      <rPr>
        <b val="true"/>
        <sz val="10"/>
        <color rgb="FF1F4E79"/>
        <rFont val="WenQuanYi Zen Hei"/>
        <family val="2"/>
      </rPr>
      <t xml:space="preserve">单台 </t>
    </r>
    <r>
      <rPr>
        <b val="true"/>
        <sz val="10"/>
        <color rgb="FF1F4E79"/>
        <rFont val="Arial"/>
        <family val="0"/>
        <charset val="1"/>
      </rPr>
      <t xml:space="preserve">I&amp;A </t>
    </r>
    <r>
      <rPr>
        <b val="true"/>
        <sz val="10"/>
        <color rgb="FF1F4E79"/>
        <rFont val="WenQuanYi Zen Hei"/>
        <family val="2"/>
      </rPr>
      <t xml:space="preserve">收入 −</t>
    </r>
    <r>
      <rPr>
        <b val="true"/>
        <sz val="10"/>
        <color rgb="FF1F4E79"/>
        <rFont val="Arial"/>
        <family val="0"/>
        <charset val="1"/>
      </rPr>
      <t xml:space="preserve">3%</t>
    </r>
    <r>
      <rPr>
        <b val="true"/>
        <sz val="10"/>
        <color rgb="FF1F4E79"/>
        <rFont val="WenQuanYi Zen Hei"/>
        <family val="2"/>
      </rPr>
      <t xml:space="preserve">；系统收入随换机放缓；估值向同业靠拢至 </t>
    </r>
    <r>
      <rPr>
        <b val="true"/>
        <sz val="10"/>
        <color rgb="FF1F4E79"/>
        <rFont val="Arial"/>
        <family val="0"/>
        <charset val="1"/>
      </rPr>
      <t xml:space="preserve">30x</t>
    </r>
  </si>
  <si>
    <r>
      <rPr>
        <b val="true"/>
        <sz val="10"/>
        <color rgb="FF1F4E79"/>
        <rFont val="WenQuanYi Zen Hei"/>
        <family val="2"/>
      </rPr>
      <t xml:space="preserve">悲观情景：美国增速降至个位数；延寿 </t>
    </r>
    <r>
      <rPr>
        <b val="true"/>
        <sz val="10"/>
        <color rgb="FF1F4E79"/>
        <rFont val="Arial"/>
        <family val="0"/>
        <charset val="1"/>
      </rPr>
      <t xml:space="preserve">+ </t>
    </r>
    <r>
      <rPr>
        <b val="true"/>
        <sz val="10"/>
        <color rgb="FF1F4E79"/>
        <rFont val="WenQuanYi Zen Hei"/>
        <family val="2"/>
      </rPr>
      <t xml:space="preserve">竞争降价使 </t>
    </r>
    <r>
      <rPr>
        <b val="true"/>
        <sz val="10"/>
        <color rgb="FF1F4E79"/>
        <rFont val="Arial"/>
        <family val="0"/>
        <charset val="1"/>
      </rPr>
      <t xml:space="preserve">2027 </t>
    </r>
    <r>
      <rPr>
        <b val="true"/>
        <sz val="10"/>
        <color rgb="FF1F4E79"/>
        <rFont val="WenQuanYi Zen Hei"/>
        <family val="2"/>
      </rPr>
      <t xml:space="preserve">单台 </t>
    </r>
    <r>
      <rPr>
        <b val="true"/>
        <sz val="10"/>
        <color rgb="FF1F4E79"/>
        <rFont val="Arial"/>
        <family val="0"/>
        <charset val="1"/>
      </rPr>
      <t xml:space="preserve">I&amp;A </t>
    </r>
    <r>
      <rPr>
        <b val="true"/>
        <sz val="10"/>
        <color rgb="FF1F4E79"/>
        <rFont val="WenQuanYi Zen Hei"/>
        <family val="2"/>
      </rPr>
      <t xml:space="preserve">收入 −</t>
    </r>
    <r>
      <rPr>
        <b val="true"/>
        <sz val="10"/>
        <color rgb="FF1F4E79"/>
        <rFont val="Arial"/>
        <family val="0"/>
        <charset val="1"/>
      </rPr>
      <t xml:space="preserve">6%</t>
    </r>
    <r>
      <rPr>
        <b val="true"/>
        <sz val="10"/>
        <color rgb="FF1F4E79"/>
        <rFont val="WenQuanYi Zen Hei"/>
        <family val="2"/>
      </rPr>
      <t xml:space="preserve">；系统降价</t>
    </r>
    <r>
      <rPr>
        <b val="true"/>
        <sz val="10"/>
        <color rgb="FF1F4E79"/>
        <rFont val="Arial"/>
        <family val="0"/>
        <charset val="1"/>
      </rPr>
      <t xml:space="preserve">/</t>
    </r>
    <r>
      <rPr>
        <b val="true"/>
        <sz val="10"/>
        <color rgb="FF1F4E79"/>
        <rFont val="WenQuanYi Zen Hei"/>
        <family val="2"/>
      </rPr>
      <t xml:space="preserve">份额流失；估值降至 </t>
    </r>
    <r>
      <rPr>
        <b val="true"/>
        <sz val="10"/>
        <color rgb="FF1F4E79"/>
        <rFont val="Arial"/>
        <family val="0"/>
        <charset val="1"/>
      </rPr>
      <t xml:space="preserve">22x</t>
    </r>
    <r>
      <rPr>
        <b val="true"/>
        <sz val="10"/>
        <color rgb="FF1F4E79"/>
        <rFont val="WenQuanYi Zen Hei"/>
        <family val="2"/>
      </rPr>
      <t xml:space="preserve">（接近强生）</t>
    </r>
  </si>
  <si>
    <r>
      <rPr>
        <b val="true"/>
        <sz val="10"/>
        <rFont val="WenQuanYi Zen Hei"/>
        <family val="2"/>
      </rPr>
      <t xml:space="preserve">概率合计（须为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</si>
  <si>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color rgb="FF1F4E79"/>
        <rFont val="WenQuanYi Zen Hei"/>
        <family val="2"/>
      </rPr>
      <t xml:space="preserve">三情景驱动模型（百万美元；</t>
    </r>
    <r>
      <rPr>
        <b val="true"/>
        <sz val="10"/>
        <color rgb="FF1F4E79"/>
        <rFont val="Arial"/>
        <family val="0"/>
        <charset val="1"/>
      </rPr>
      <t xml:space="preserve">2025A </t>
    </r>
    <r>
      <rPr>
        <b val="true"/>
        <sz val="10"/>
        <color rgb="FF1F4E79"/>
        <rFont val="WenQuanYi Zen Hei"/>
        <family val="2"/>
      </rPr>
      <t xml:space="preserve">取自历史数据，</t>
    </r>
    <r>
      <rPr>
        <b val="true"/>
        <sz val="10"/>
        <color rgb="FF1F4E79"/>
        <rFont val="Arial"/>
        <family val="0"/>
        <charset val="1"/>
      </rPr>
      <t xml:space="preserve">2026E–2029E </t>
    </r>
    <r>
      <rPr>
        <b val="true"/>
        <sz val="10"/>
        <color rgb="FF1F4E79"/>
        <rFont val="WenQuanYi Zen Hei"/>
        <family val="2"/>
      </rPr>
      <t xml:space="preserve">由假设驱动）</t>
    </r>
  </si>
  <si>
    <t xml:space="preserve">乐观情景</t>
  </si>
  <si>
    <t xml:space="preserve">2025A</t>
  </si>
  <si>
    <t xml:space="preserve">备注</t>
  </si>
  <si>
    <r>
      <rPr>
        <sz val="10"/>
        <color rgb="FF000000"/>
        <rFont val="Arial"/>
        <family val="0"/>
        <charset val="1"/>
      </rPr>
      <t xml:space="preserve">da Vinci </t>
    </r>
    <r>
      <rPr>
        <sz val="10"/>
        <color rgb="FF000000"/>
        <rFont val="WenQuanYi Zen Hei"/>
        <family val="2"/>
      </rPr>
      <t xml:space="preserve">手术量（千台）</t>
    </r>
  </si>
  <si>
    <t xml:space="preserve">  手术量增速</t>
  </si>
  <si>
    <r>
      <rPr>
        <sz val="10"/>
        <color rgb="FF000000"/>
        <rFont val="WenQuanYi Zen Hei"/>
        <family val="2"/>
      </rPr>
      <t xml:space="preserve">单台手术 </t>
    </r>
    <r>
      <rPr>
        <sz val="10"/>
        <color rgb="FF000000"/>
        <rFont val="Arial"/>
        <family val="0"/>
        <charset val="1"/>
      </rPr>
      <t xml:space="preserve">I&amp;A </t>
    </r>
    <r>
      <rPr>
        <sz val="10"/>
        <color rgb="FF000000"/>
        <rFont val="WenQuanYi Zen Hei"/>
        <family val="2"/>
      </rPr>
      <t xml:space="preserve">收入（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</si>
  <si>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分母仅 </t>
    </r>
    <r>
      <rPr>
        <sz val="10"/>
        <color rgb="FF000000"/>
        <rFont val="Arial"/>
        <family val="0"/>
        <charset val="1"/>
      </rPr>
      <t xml:space="preserve">da Vinci</t>
    </r>
    <r>
      <rPr>
        <sz val="10"/>
        <color rgb="FF000000"/>
        <rFont val="WenQuanYi Zen Hei"/>
        <family val="2"/>
      </rPr>
      <t xml:space="preserve">，含 </t>
    </r>
    <r>
      <rPr>
        <sz val="10"/>
        <color rgb="FF000000"/>
        <rFont val="Arial"/>
        <family val="0"/>
        <charset val="1"/>
      </rPr>
      <t xml:space="preserve">Ion </t>
    </r>
    <r>
      <rPr>
        <sz val="10"/>
        <color rgb="FF000000"/>
        <rFont val="WenQuanYi Zen Hei"/>
        <family val="2"/>
      </rPr>
      <t xml:space="preserve">器械贡献</t>
    </r>
  </si>
  <si>
    <r>
      <rPr>
        <sz val="10"/>
        <color rgb="FF000000"/>
        <rFont val="Arial"/>
        <family val="0"/>
        <charset val="1"/>
      </rPr>
      <t xml:space="preserve">I&amp;A </t>
    </r>
    <r>
      <rPr>
        <sz val="10"/>
        <color rgb="FF000000"/>
        <rFont val="WenQuanYi Zen Hei"/>
        <family val="2"/>
      </rPr>
      <t xml:space="preserve">收入</t>
    </r>
  </si>
  <si>
    <r>
      <rPr>
        <sz val="10"/>
        <color rgb="FF000000"/>
        <rFont val="Arial"/>
        <family val="0"/>
        <charset val="1"/>
      </rPr>
      <t xml:space="preserve">da Vinci </t>
    </r>
    <r>
      <rPr>
        <sz val="10"/>
        <color rgb="FF000000"/>
        <rFont val="WenQuanYi Zen Hei"/>
        <family val="2"/>
      </rPr>
      <t xml:space="preserve">装机量（期末，台）</t>
    </r>
  </si>
  <si>
    <t xml:space="preserve">年均装机量（台）</t>
  </si>
  <si>
    <r>
      <rPr>
        <sz val="10"/>
        <color rgb="FF000000"/>
        <rFont val="WenQuanYi Zen Hei"/>
        <family val="2"/>
      </rPr>
      <t xml:space="preserve">单台服务收入（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</si>
  <si>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Ion </t>
    </r>
    <r>
      <rPr>
        <sz val="10"/>
        <color rgb="FF000000"/>
        <rFont val="WenQuanYi Zen Hei"/>
        <family val="2"/>
      </rPr>
      <t xml:space="preserve">服务贡献</t>
    </r>
  </si>
  <si>
    <t xml:space="preserve">  收入增速</t>
  </si>
  <si>
    <r>
      <rPr>
        <sz val="10"/>
        <color rgb="FF000000"/>
        <rFont val="WenQuanYi Zen Hei"/>
        <family val="2"/>
      </rPr>
      <t xml:space="preserve">运营费用（销售管理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研发）</t>
    </r>
  </si>
  <si>
    <r>
      <rPr>
        <b val="true"/>
        <sz val="10"/>
        <color rgb="FF000000"/>
        <rFont val="WenQuanYi Zen Hei"/>
        <family val="2"/>
      </rPr>
      <t xml:space="preserve">经营利润（</t>
    </r>
    <r>
      <rPr>
        <b val="true"/>
        <sz val="10"/>
        <color rgb="FF000000"/>
        <rFont val="Arial"/>
        <family val="0"/>
        <charset val="1"/>
      </rPr>
      <t xml:space="preserve">GAAP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</si>
  <si>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  经营利润率</t>
  </si>
  <si>
    <r>
      <rPr>
        <sz val="10"/>
        <color rgb="FF000000"/>
        <rFont val="WenQuanYi Zen Hei"/>
        <family val="2"/>
      </rPr>
      <t xml:space="preserve">所得税（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</si>
  <si>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GAAP </t>
    </r>
    <r>
      <rPr>
        <b val="true"/>
        <sz val="10"/>
        <color rgb="FF000000"/>
        <rFont val="WenQuanYi Zen Hei"/>
        <family val="2"/>
      </rPr>
      <t xml:space="preserve">归母净利润</t>
    </r>
  </si>
  <si>
    <t xml:space="preserve">稀释股本（百万股）</t>
  </si>
  <si>
    <r>
      <rPr>
        <b val="true"/>
        <sz val="10"/>
        <color rgb="FF000000"/>
        <rFont val="Arial"/>
        <family val="0"/>
        <charset val="1"/>
      </rPr>
      <t xml:space="preserve">GAAP </t>
    </r>
    <r>
      <rPr>
        <b val="true"/>
        <sz val="10"/>
        <color rgb="FF000000"/>
        <rFont val="WenQuanYi Zen Hei"/>
        <family val="2"/>
      </rPr>
      <t xml:space="preserve">稀释 </t>
    </r>
    <r>
      <rPr>
        <b val="true"/>
        <sz val="10"/>
        <color rgb="FF000000"/>
        <rFont val="Arial"/>
        <family val="0"/>
        <charset val="1"/>
      </rPr>
      <t xml:space="preserve">EPS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$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</si>
  <si>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股权激励（</t>
    </r>
    <r>
      <rPr>
        <sz val="10"/>
        <color rgb="FF000000"/>
        <rFont val="Arial"/>
        <family val="0"/>
        <charset val="1"/>
      </rPr>
      <t xml:space="preserve">SBC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</si>
  <si>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其他非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调整（税前）</t>
    </r>
  </si>
  <si>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归母净利润</t>
    </r>
  </si>
  <si>
    <r>
      <rPr>
        <sz val="10"/>
        <color rgb="FF000000"/>
        <rFont val="WenQuanYi Zen Hei"/>
        <family val="2"/>
      </rPr>
      <t xml:space="preserve">（税前 </t>
    </r>
    <r>
      <rPr>
        <sz val="10"/>
        <color rgb="FF000000"/>
        <rFont val="Arial"/>
        <family val="0"/>
        <charset val="1"/>
      </rPr>
      <t xml:space="preserve">+ SBC + </t>
    </r>
    <r>
      <rPr>
        <sz val="10"/>
        <color rgb="FF000000"/>
        <rFont val="WenQuanYi Zen Hei"/>
        <family val="2"/>
      </rPr>
      <t xml:space="preserve">其他调整）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非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WenQuanYi Zen Hei"/>
        <family val="2"/>
      </rPr>
      <t xml:space="preserve">税率）− 少数股东</t>
    </r>
  </si>
  <si>
    <r>
      <rPr>
        <b val="true"/>
        <sz val="10"/>
        <color rgb="FF000000"/>
        <rFont val="WenQuanYi Zen Hei"/>
        <family val="2"/>
      </rPr>
      <t xml:space="preserve">非 </t>
    </r>
    <r>
      <rPr>
        <b val="true"/>
        <sz val="10"/>
        <color rgb="FF000000"/>
        <rFont val="Arial"/>
        <family val="0"/>
        <charset val="1"/>
      </rPr>
      <t xml:space="preserve">GAAP </t>
    </r>
    <r>
      <rPr>
        <b val="true"/>
        <sz val="10"/>
        <color rgb="FF000000"/>
        <rFont val="WenQuanYi Zen Hei"/>
        <family val="2"/>
      </rPr>
      <t xml:space="preserve">稀释 </t>
    </r>
    <r>
      <rPr>
        <b val="true"/>
        <sz val="10"/>
        <color rgb="FF000000"/>
        <rFont val="Arial"/>
        <family val="0"/>
        <charset val="1"/>
      </rPr>
      <t xml:space="preserve">EPS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$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</si>
  <si>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  非 </t>
    </r>
    <r>
      <rPr>
        <sz val="10"/>
        <color rgb="FF000000"/>
        <rFont val="Arial"/>
        <family val="0"/>
        <charset val="1"/>
      </rPr>
      <t xml:space="preserve">GAAP EPS </t>
    </r>
    <r>
      <rPr>
        <sz val="10"/>
        <color rgb="FF000000"/>
        <rFont val="WenQuanYi Zen Hei"/>
        <family val="2"/>
      </rPr>
      <t xml:space="preserve">增速</t>
    </r>
  </si>
  <si>
    <r>
      <rPr>
        <b val="true"/>
        <sz val="10"/>
        <color rgb="FF000000"/>
        <rFont val="Arial"/>
        <family val="0"/>
        <charset val="1"/>
      </rPr>
      <t xml:space="preserve">2029E </t>
    </r>
    <r>
      <rPr>
        <b val="true"/>
        <sz val="10"/>
        <color rgb="FF000000"/>
        <rFont val="WenQuanYi Zen Hei"/>
        <family val="2"/>
      </rPr>
      <t xml:space="preserve">估值</t>
    </r>
  </si>
  <si>
    <r>
      <rPr>
        <sz val="10"/>
        <color rgb="FF000000"/>
        <rFont val="Arial"/>
        <family val="0"/>
        <charset val="1"/>
      </rPr>
      <t xml:space="preserve">2029E </t>
    </r>
    <r>
      <rPr>
        <sz val="10"/>
        <color rgb="FF000000"/>
        <rFont val="WenQuanYi Zen Hei"/>
        <family val="2"/>
      </rPr>
      <t xml:space="preserve">目标价（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</si>
  <si>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  对应 </t>
    </r>
    <r>
      <rPr>
        <sz val="10"/>
        <color rgb="FF000000"/>
        <rFont val="Arial"/>
        <family val="0"/>
        <charset val="1"/>
      </rPr>
      <t xml:space="preserve">GAAP PE</t>
    </r>
  </si>
  <si>
    <r>
      <rPr>
        <sz val="10"/>
        <color rgb="FF000000"/>
        <rFont val="WenQuanYi Zen Hei"/>
        <family val="2"/>
      </rPr>
      <t xml:space="preserve">折现到今天的价值（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</si>
  <si>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GAAP EPS </t>
    </r>
    <r>
      <rPr>
        <sz val="10"/>
        <color rgb="FF000000"/>
        <rFont val="WenQuanYi Zen Hei"/>
        <family val="2"/>
      </rPr>
      <t xml:space="preserve">复合增速（</t>
    </r>
    <r>
      <rPr>
        <sz val="10"/>
        <color rgb="FF000000"/>
        <rFont val="Arial"/>
        <family val="0"/>
        <charset val="1"/>
      </rPr>
      <t xml:space="preserve">2026E–2029E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</si>
  <si>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收入复合增速（</t>
    </r>
    <r>
      <rPr>
        <sz val="10"/>
        <color rgb="FF000000"/>
        <rFont val="Arial"/>
        <family val="0"/>
        <charset val="1"/>
      </rPr>
      <t xml:space="preserve">2025A–2029E</t>
    </r>
    <r>
      <rPr>
        <sz val="10"/>
        <color rgb="FF000000"/>
        <rFont val="WenQuanYi Zen Hei"/>
        <family val="2"/>
      </rPr>
      <t xml:space="preserve">）</t>
    </r>
  </si>
  <si>
    <t xml:space="preserve">基准情景</t>
  </si>
  <si>
    <t xml:space="preserve">悲观情景</t>
  </si>
  <si>
    <t xml:space="preserve">敏感性分析</t>
  </si>
  <si>
    <r>
      <rPr>
        <b val="true"/>
        <sz val="10"/>
        <rFont val="WenQuanYi Zen Hei"/>
        <family val="2"/>
      </rPr>
      <t xml:space="preserve">表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2029E </t>
    </r>
    <r>
      <rPr>
        <b val="true"/>
        <sz val="10"/>
        <rFont val="WenQuanYi Zen Hei"/>
        <family val="2"/>
      </rPr>
      <t xml:space="preserve">目标价 </t>
    </r>
    <r>
      <rPr>
        <b val="true"/>
        <sz val="10"/>
        <rFont val="Arial"/>
        <family val="0"/>
        <charset val="1"/>
      </rPr>
      <t xml:space="preserve">= 2029E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GAAP EPS × </t>
    </r>
    <r>
      <rPr>
        <b val="true"/>
        <sz val="10"/>
        <rFont val="WenQuanYi Zen Hei"/>
        <family val="2"/>
      </rPr>
      <t xml:space="preserve">退出 </t>
    </r>
    <r>
      <rPr>
        <b val="true"/>
        <sz val="10"/>
        <rFont val="Arial"/>
        <family val="0"/>
        <charset val="1"/>
      </rPr>
      <t xml:space="preserve">PE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</si>
  <si>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color rgb="FFFFFFFF"/>
        <rFont val="WenQuanYi Zen Hei"/>
        <family val="2"/>
      </rPr>
      <t xml:space="preserve">退出 </t>
    </r>
    <r>
      <rPr>
        <b val="true"/>
        <sz val="10"/>
        <color rgb="FFFFFFFF"/>
        <rFont val="Arial"/>
        <family val="0"/>
        <charset val="1"/>
      </rPr>
      <t xml:space="preserve">PE</t>
    </r>
  </si>
  <si>
    <t xml:space="preserve">基准折现到今天</t>
  </si>
  <si>
    <r>
      <rPr>
        <b val="true"/>
        <sz val="10"/>
        <rFont val="Arial"/>
        <family val="0"/>
        <charset val="1"/>
      </rPr>
      <t xml:space="preserve">2029E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GAAP EPS →</t>
    </r>
  </si>
  <si>
    <r>
      <rPr>
        <b val="true"/>
        <sz val="10"/>
        <rFont val="WenQuanYi Zen Hei"/>
        <family val="2"/>
      </rPr>
      <t xml:space="preserve">表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：基准情景 </t>
    </r>
    <r>
      <rPr>
        <b val="true"/>
        <sz val="10"/>
        <rFont val="Arial"/>
        <family val="0"/>
        <charset val="1"/>
      </rPr>
      <t xml:space="preserve">2029E </t>
    </r>
    <r>
      <rPr>
        <b val="true"/>
        <sz val="10"/>
        <rFont val="WenQuanYi Zen Hei"/>
        <family val="2"/>
      </rPr>
      <t xml:space="preserve">目标价（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）——手术量复合增速（</t>
    </r>
    <r>
      <rPr>
        <b val="true"/>
        <sz val="10"/>
        <rFont val="Arial"/>
        <family val="0"/>
        <charset val="1"/>
      </rPr>
      <t xml:space="preserve">2025–2029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单台 </t>
    </r>
    <r>
      <rPr>
        <b val="true"/>
        <sz val="10"/>
        <rFont val="Arial"/>
        <family val="0"/>
        <charset val="1"/>
      </rPr>
      <t xml:space="preserve">I&amp;A </t>
    </r>
    <r>
      <rPr>
        <b val="true"/>
        <sz val="10"/>
        <rFont val="WenQuanYi Zen Hei"/>
        <family val="2"/>
      </rPr>
      <t xml:space="preserve">收入累计变化（</t>
    </r>
    <r>
      <rPr>
        <b val="true"/>
        <sz val="10"/>
        <rFont val="Arial"/>
        <family val="0"/>
        <charset val="1"/>
      </rPr>
      <t xml:space="preserve">2025→2029</t>
    </r>
    <r>
      <rPr>
        <b val="true"/>
        <sz val="10"/>
        <rFont val="WenQuanYi Zen Hei"/>
        <family val="2"/>
      </rPr>
      <t xml:space="preserve">）；其他项目沿用基准情景</t>
    </r>
  </si>
  <si>
    <r>
      <rPr>
        <sz val="10"/>
        <color rgb="FF000000"/>
        <rFont val="WenQuanYi Zen Hei"/>
        <family val="2"/>
      </rPr>
      <t xml:space="preserve">基准退出 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：</t>
    </r>
  </si>
  <si>
    <r>
      <rPr>
        <b val="true"/>
        <sz val="10"/>
        <color rgb="FFFFFFFF"/>
        <rFont val="WenQuanYi Zen Hei"/>
        <family val="2"/>
      </rPr>
      <t xml:space="preserve">手术量 </t>
    </r>
    <r>
      <rPr>
        <b val="true"/>
        <sz val="10"/>
        <color rgb="FFFFFFFF"/>
        <rFont val="Arial"/>
        <family val="0"/>
        <charset val="1"/>
      </rPr>
      <t xml:space="preserve">CAGR</t>
    </r>
  </si>
  <si>
    <t xml:space="preserve">−10%</t>
  </si>
  <si>
    <t xml:space="preserve">−5%</t>
  </si>
  <si>
    <t xml:space="preserve">0%</t>
  </si>
  <si>
    <t xml:space="preserve">+5%</t>
  </si>
  <si>
    <t xml:space="preserve">+10%</t>
  </si>
  <si>
    <r>
      <rPr>
        <b val="true"/>
        <sz val="10"/>
        <rFont val="WenQuanYi Zen Hei"/>
        <family val="2"/>
      </rPr>
      <t xml:space="preserve">单台 </t>
    </r>
    <r>
      <rPr>
        <b val="true"/>
        <sz val="10"/>
        <rFont val="Arial"/>
        <family val="0"/>
        <charset val="1"/>
      </rPr>
      <t xml:space="preserve">I&amp;A </t>
    </r>
    <r>
      <rPr>
        <b val="true"/>
        <sz val="10"/>
        <rFont val="WenQuanYi Zen Hei"/>
        <family val="2"/>
      </rPr>
      <t xml:space="preserve">累计变化 →</t>
    </r>
  </si>
  <si>
    <r>
      <rPr>
        <sz val="10"/>
        <color rgb="FF000000"/>
        <rFont val="WenQuanYi Zen Hei"/>
        <family val="2"/>
      </rPr>
      <t xml:space="preserve">注：基准情景假设手术量 </t>
    </r>
    <r>
      <rPr>
        <sz val="10"/>
        <color rgb="FF000000"/>
        <rFont val="Arial"/>
        <family val="0"/>
        <charset val="1"/>
      </rPr>
      <t xml:space="preserve">CAGR </t>
    </r>
    <r>
      <rPr>
        <sz val="10"/>
        <color rgb="FF000000"/>
        <rFont val="WenQuanYi Zen Hei"/>
        <family val="2"/>
      </rPr>
      <t xml:space="preserve">约 </t>
    </r>
    <r>
      <rPr>
        <sz val="10"/>
        <color rgb="FF000000"/>
        <rFont val="Arial"/>
        <family val="0"/>
        <charset val="1"/>
      </rPr>
      <t xml:space="preserve">12.5%</t>
    </r>
    <r>
      <rPr>
        <sz val="10"/>
        <color rgb="FF000000"/>
        <rFont val="WenQuanYi Zen Hei"/>
        <family val="2"/>
      </rPr>
      <t xml:space="preserve">、单台 </t>
    </r>
    <r>
      <rPr>
        <sz val="10"/>
        <color rgb="FF000000"/>
        <rFont val="Arial"/>
        <family val="0"/>
        <charset val="1"/>
      </rPr>
      <t xml:space="preserve">I&amp;A </t>
    </r>
    <r>
      <rPr>
        <sz val="10"/>
        <color rgb="FF000000"/>
        <rFont val="WenQuanYi Zen Hei"/>
        <family val="2"/>
      </rPr>
      <t xml:space="preserve">累计变化约 −</t>
    </r>
    <r>
      <rPr>
        <sz val="10"/>
        <color rgb="FF000000"/>
        <rFont val="Arial"/>
        <family val="0"/>
        <charset val="1"/>
      </rPr>
      <t xml:space="preserve">1.6%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</si>
  <si>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表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：系统降价对基准情景 </t>
    </r>
    <r>
      <rPr>
        <b val="true"/>
        <sz val="10"/>
        <rFont val="Arial"/>
        <family val="0"/>
        <charset val="1"/>
      </rPr>
      <t xml:space="preserve">2029E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GAAP EPS </t>
    </r>
    <r>
      <rPr>
        <b val="true"/>
        <sz val="10"/>
        <rFont val="WenQuanYi Zen Hei"/>
        <family val="2"/>
      </rPr>
      <t xml:space="preserve">的影响（降价全部落到利润；未计降价带来的装机增量）</t>
    </r>
  </si>
  <si>
    <t xml:space="preserve">系统降价幅度</t>
  </si>
  <si>
    <r>
      <rPr>
        <b val="true"/>
        <sz val="10"/>
        <color rgb="FFFFFFFF"/>
        <rFont val="WenQuanYi Zen Hei"/>
        <family val="2"/>
      </rPr>
      <t xml:space="preserve">收入损失（</t>
    </r>
    <r>
      <rPr>
        <b val="true"/>
        <sz val="10"/>
        <color rgb="FFFFFFFF"/>
        <rFont val="Arial"/>
        <family val="0"/>
        <charset val="1"/>
      </rPr>
      <t xml:space="preserve">$mm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</si>
  <si>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影响（</t>
    </r>
    <r>
      <rPr>
        <b val="true"/>
        <sz val="10"/>
        <color rgb="FFFFFFFF"/>
        <rFont val="Arial"/>
        <family val="0"/>
        <charset val="1"/>
      </rPr>
      <t xml:space="preserve">$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</si>
  <si>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影响（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</si>
  <si>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2029E </t>
    </r>
    <r>
      <rPr>
        <b val="true"/>
        <sz val="10"/>
        <color rgb="FFFFFFFF"/>
        <rFont val="WenQuanYi Zen Hei"/>
        <family val="2"/>
      </rPr>
      <t xml:space="preserve">目标价（</t>
    </r>
    <r>
      <rPr>
        <b val="true"/>
        <sz val="10"/>
        <color rgb="FFFFFFFF"/>
        <rFont val="Arial"/>
        <family val="0"/>
        <charset val="1"/>
      </rPr>
      <t xml:space="preserve">$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</si>
  <si>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对比：单台 </t>
    </r>
    <r>
      <rPr>
        <sz val="10"/>
        <color rgb="FF000000"/>
        <rFont val="Arial"/>
        <family val="0"/>
        <charset val="1"/>
      </rPr>
      <t xml:space="preserve">I&amp;A </t>
    </r>
    <r>
      <rPr>
        <sz val="10"/>
        <color rgb="FF000000"/>
        <rFont val="WenQuanYi Zen Hei"/>
        <family val="2"/>
      </rPr>
      <t xml:space="preserve">收入每下降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2029E </t>
    </r>
    <r>
      <rPr>
        <sz val="10"/>
        <color rgb="FF000000"/>
        <rFont val="WenQuanYi Zen Hei"/>
        <family val="2"/>
      </rPr>
      <t xml:space="preserve">收入减少约 </t>
    </r>
    <r>
      <rPr>
        <sz val="10"/>
        <color rgb="FF000000"/>
        <rFont val="Arial"/>
        <family val="0"/>
        <charset val="1"/>
      </rPr>
      <t xml:space="preserve">1% × I&amp;A </t>
    </r>
    <r>
      <rPr>
        <sz val="10"/>
        <color rgb="FF000000"/>
        <rFont val="WenQuanYi Zen Hei"/>
        <family val="2"/>
      </rPr>
      <t xml:space="preserve">收入；见表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横向变化。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</si>
</sst>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;\(#,##0\);\-"/>
    <numFmt numFmtId="167" formatCode="\$#,##0.00;&quot;($&quot;#,##0.00\);\-"/>
    <numFmt numFmtId="168" formatCode="0.0\x"/>
    <numFmt numFmtId="169" formatCode="#,##0.0;\(#,##0.0\);\-"/>
    <numFmt numFmtId="170" formatCode="\$#,##0;&quot;($&quot;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4E79"/>
      <name val="Arial"/>
      <family val="0"/>
      <charset val="1"/>
    </font>
    <font>
      <b val="true"/>
      <sz val="10"/>
      <color rgb="FF1F4E79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color rgb="FFFFFFFF"/>
      <name val="WenQuanYi Zen Hei"/>
      <family val="2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4.15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4.15" hidden="false" customHeight="false" outlineLevel="0" collapsed="false">
      <c r="A5" s="3" t="s">
        <v>3</v>
      </c>
    </row>
    <row r="6" customFormat="false" ht="14.15" hidden="false" customHeight="false" outlineLevel="0" collapsed="false">
      <c r="A6" s="3" t="s">
        <v>4</v>
      </c>
    </row>
    <row r="7" customFormat="false" ht="14.15" hidden="false" customHeight="false" outlineLevel="0" collapsed="false">
      <c r="A7" s="3" t="s">
        <v>5</v>
      </c>
    </row>
    <row r="8" customFormat="false" ht="14.15" hidden="false" customHeight="false" outlineLevel="0" collapsed="false">
      <c r="A8" s="3" t="s">
        <v>6</v>
      </c>
    </row>
    <row r="9" customFormat="false" ht="14.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4.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4.15" hidden="false" customHeight="false" outlineLevel="0" collapsed="false">
      <c r="A15" s="4" t="s">
        <v>11</v>
      </c>
    </row>
    <row r="16" customFormat="false" ht="14.15" hidden="false" customHeight="false" outlineLevel="0" collapsed="false">
      <c r="A16" s="4" t="s">
        <v>12</v>
      </c>
    </row>
    <row r="17" customFormat="false" ht="14.15" hidden="false" customHeight="false" outlineLevel="0" collapsed="false">
      <c r="A17" s="4" t="s">
        <v>13</v>
      </c>
    </row>
    <row r="18" customFormat="false" ht="14.15" hidden="false" customHeight="false" outlineLevel="0" collapsed="false">
      <c r="A18" s="4" t="s">
        <v>14</v>
      </c>
    </row>
    <row r="19" customFormat="false" ht="14.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2" t="s">
        <v>16</v>
      </c>
    </row>
    <row r="22" customFormat="false" ht="14.15" hidden="false" customHeight="false" outlineLevel="0" collapsed="false">
      <c r="A22" s="3" t="s">
        <v>17</v>
      </c>
    </row>
    <row r="23" customFormat="false" ht="14.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2" t="s">
        <v>19</v>
      </c>
    </row>
    <row r="26" customFormat="false" ht="14.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4" t="s">
        <v>23</v>
      </c>
    </row>
    <row r="4" customFormat="false" ht="1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</row>
    <row r="5" customFormat="false" ht="15" hidden="false" customHeight="false" outlineLevel="0" collapsed="false">
      <c r="A5" s="4" t="s">
        <v>29</v>
      </c>
      <c r="B5" s="6" t="n">
        <f aca="false">假设!$B$25</f>
        <v>0.25</v>
      </c>
      <c r="C5" s="6" t="n">
        <f aca="false">假设!$B$38</f>
        <v>0.5</v>
      </c>
      <c r="D5" s="6" t="n">
        <f aca="false">假设!$B$51</f>
        <v>0.25</v>
      </c>
      <c r="E5" s="7" t="n">
        <f aca="false">SUM(B5:D5)</f>
        <v>1</v>
      </c>
    </row>
    <row r="6" customFormat="false" ht="15" hidden="false" customHeight="false" outlineLevel="0" collapsed="false">
      <c r="A6" s="3" t="s">
        <v>30</v>
      </c>
      <c r="B6" s="8" t="n">
        <f aca="false">情景模型!F14</f>
        <v>17391.2408203319</v>
      </c>
      <c r="C6" s="8" t="n">
        <f aca="false">情景模型!F54</f>
        <v>15640.2558365216</v>
      </c>
      <c r="D6" s="8" t="n">
        <f aca="false">情景模型!F94</f>
        <v>13376.482292587</v>
      </c>
      <c r="E6" s="9" t="n">
        <f aca="false">SUMPRODUCT($B$5:$D$5,B6:D6)</f>
        <v>15512.0586964905</v>
      </c>
    </row>
    <row r="7" customFormat="false" ht="15" hidden="false" customHeight="false" outlineLevel="0" collapsed="false">
      <c r="A7" s="4" t="s">
        <v>31</v>
      </c>
      <c r="B7" s="6" t="n">
        <f aca="false">情景模型!B41</f>
        <v>0.146522108370353</v>
      </c>
      <c r="C7" s="6" t="n">
        <f aca="false">情景模型!B81</f>
        <v>0.11650521162111</v>
      </c>
      <c r="D7" s="6" t="n">
        <f aca="false">情景模型!B121</f>
        <v>0.0737057308985232</v>
      </c>
      <c r="E7" s="10" t="n">
        <f aca="false">SUMPRODUCT($B$5:$D$5,B7:D7)</f>
        <v>0.113309565627774</v>
      </c>
    </row>
    <row r="8" customFormat="false" ht="15" hidden="false" customHeight="false" outlineLevel="0" collapsed="false">
      <c r="A8" s="3" t="s">
        <v>32</v>
      </c>
      <c r="B8" s="6" t="n">
        <f aca="false">情景模型!F20</f>
        <v>0.375241750025178</v>
      </c>
      <c r="C8" s="6" t="n">
        <f aca="false">情景模型!F60</f>
        <v>0.337169368064729</v>
      </c>
      <c r="D8" s="6" t="n">
        <f aca="false">情景模型!F100</f>
        <v>0.277269238003688</v>
      </c>
      <c r="E8" s="10" t="n">
        <f aca="false">SUMPRODUCT($B$5:$D$5,B8:D8)</f>
        <v>0.331712431039581</v>
      </c>
    </row>
    <row r="9" customFormat="false" ht="15" hidden="false" customHeight="false" outlineLevel="0" collapsed="false">
      <c r="A9" s="3" t="s">
        <v>33</v>
      </c>
      <c r="B9" s="11" t="n">
        <f aca="false">情景模型!F27</f>
        <v>16.0394451929695</v>
      </c>
      <c r="C9" s="11" t="n">
        <f aca="false">情景模型!F67</f>
        <v>13.0365662893351</v>
      </c>
      <c r="D9" s="11" t="n">
        <f aca="false">情景模型!F107</f>
        <v>9.32171915170061</v>
      </c>
      <c r="E9" s="12" t="n">
        <f aca="false">SUMPRODUCT($B$5:$D$5,B9:D9)</f>
        <v>12.8585742308351</v>
      </c>
    </row>
    <row r="10" customFormat="false" ht="15" hidden="false" customHeight="false" outlineLevel="0" collapsed="false">
      <c r="A10" s="3" t="s">
        <v>34</v>
      </c>
      <c r="B10" s="11" t="n">
        <f aca="false">情景模型!F31</f>
        <v>18.0265582894333</v>
      </c>
      <c r="C10" s="11" t="n">
        <f aca="false">情景模型!F71</f>
        <v>15.1372553343049</v>
      </c>
      <c r="D10" s="11" t="n">
        <f aca="false">情景模型!F111</f>
        <v>11.5589024030071</v>
      </c>
      <c r="E10" s="12" t="n">
        <f aca="false">SUMPRODUCT($B$5:$D$5,B10:D10)</f>
        <v>14.9649928402626</v>
      </c>
    </row>
    <row r="11" customFormat="false" ht="15" hidden="false" customHeight="false" outlineLevel="0" collapsed="false">
      <c r="A11" s="4" t="s">
        <v>35</v>
      </c>
      <c r="B11" s="6" t="n">
        <f aca="false">情景模型!B40</f>
        <v>0.172892726448161</v>
      </c>
      <c r="C11" s="6" t="n">
        <f aca="false">情景模型!B80</f>
        <v>0.114096106658319</v>
      </c>
      <c r="D11" s="6" t="n">
        <f aca="false">情景模型!B120</f>
        <v>0.0279259857570822</v>
      </c>
      <c r="E11" s="10" t="n">
        <f aca="false">SUMPRODUCT($B$5:$D$5,B11:D11)</f>
        <v>0.10725273138047</v>
      </c>
    </row>
    <row r="12" customFormat="false" ht="15" hidden="false" customHeight="false" outlineLevel="0" collapsed="false">
      <c r="A12" s="4" t="s">
        <v>36</v>
      </c>
      <c r="B12" s="13" t="n">
        <f aca="false">情景模型!B34</f>
        <v>40</v>
      </c>
      <c r="C12" s="13" t="n">
        <f aca="false">情景模型!B74</f>
        <v>30</v>
      </c>
      <c r="D12" s="13" t="n">
        <f aca="false">情景模型!B114</f>
        <v>22</v>
      </c>
    </row>
    <row r="13" customFormat="false" ht="15" hidden="false" customHeight="false" outlineLevel="0" collapsed="false">
      <c r="A13" s="14" t="s">
        <v>37</v>
      </c>
      <c r="B13" s="11" t="n">
        <f aca="false">情景模型!B35</f>
        <v>721.062331577333</v>
      </c>
      <c r="C13" s="11" t="n">
        <f aca="false">情景模型!B75</f>
        <v>454.117660029147</v>
      </c>
      <c r="D13" s="11" t="n">
        <f aca="false">情景模型!B115</f>
        <v>254.295852866156</v>
      </c>
      <c r="E13" s="12" t="n">
        <f aca="false">SUMPRODUCT($B$5:$D$5,B13:D13)</f>
        <v>470.898376125446</v>
      </c>
    </row>
    <row r="14" customFormat="false" ht="15" hidden="false" customHeight="false" outlineLevel="0" collapsed="false">
      <c r="A14" s="4" t="s">
        <v>38</v>
      </c>
      <c r="B14" s="6" t="n">
        <f aca="false">情景模型!B37</f>
        <v>0.715834598270827</v>
      </c>
      <c r="C14" s="6" t="n">
        <f aca="false">情景模型!B77</f>
        <v>0.0806150295763068</v>
      </c>
      <c r="D14" s="6" t="n">
        <f aca="false">情景模型!B117</f>
        <v>-0.39487946681383</v>
      </c>
      <c r="E14" s="10" t="n">
        <f aca="false">E13/假设!$B$4-1</f>
        <v>0.120546297652403</v>
      </c>
    </row>
    <row r="15" customFormat="false" ht="15" hidden="false" customHeight="false" outlineLevel="0" collapsed="false">
      <c r="A15" s="4" t="s">
        <v>39</v>
      </c>
      <c r="B15" s="6" t="n">
        <f aca="false">情景模型!B38</f>
        <v>0.197177300296306</v>
      </c>
      <c r="C15" s="6" t="n">
        <f aca="false">情景模型!B78</f>
        <v>0.0261802876745316</v>
      </c>
      <c r="D15" s="6" t="n">
        <f aca="false">情景模型!B118</f>
        <v>-0.154174780844258</v>
      </c>
      <c r="E15" s="10" t="n">
        <f aca="false">(E13/假设!$B$4)^(1/假设!$B$7)-1</f>
        <v>0.0386676409807214</v>
      </c>
    </row>
    <row r="16" customFormat="false" ht="15" hidden="false" customHeight="false" outlineLevel="0" collapsed="false">
      <c r="A16" s="15" t="s">
        <v>40</v>
      </c>
      <c r="B16" s="11" t="n">
        <f aca="false">情景模型!B39</f>
        <v>541.744802086651</v>
      </c>
      <c r="C16" s="11" t="n">
        <f aca="false">情景模型!B79</f>
        <v>341.185319330689</v>
      </c>
      <c r="D16" s="11" t="n">
        <f aca="false">情景模型!B119</f>
        <v>191.056238066233</v>
      </c>
      <c r="E16" s="12" t="n">
        <f aca="false">SUMPRODUCT($B$5:$D$5,B16:D16)</f>
        <v>353.792919703566</v>
      </c>
    </row>
    <row r="18" customFormat="false" ht="15" hidden="false" customHeight="false" outlineLevel="0" collapsed="false">
      <c r="A18" s="16" t="s">
        <v>41</v>
      </c>
      <c r="B18" s="17"/>
      <c r="C18" s="17"/>
      <c r="D18" s="17"/>
      <c r="E18" s="17"/>
    </row>
    <row r="19" customFormat="false" ht="15" hidden="false" customHeight="false" outlineLevel="0" collapsed="false">
      <c r="A19" s="4" t="s">
        <v>42</v>
      </c>
      <c r="B19" s="18" t="n">
        <f aca="false">假设!$B$4</f>
        <v>420.24</v>
      </c>
    </row>
    <row r="20" customFormat="false" ht="15" hidden="false" customHeight="false" outlineLevel="0" collapsed="false">
      <c r="A20" s="4" t="s">
        <v>43</v>
      </c>
      <c r="B20" s="18" t="n">
        <f aca="false">E13</f>
        <v>470.898376125446</v>
      </c>
    </row>
    <row r="21" customFormat="false" ht="15" hidden="false" customHeight="false" outlineLevel="0" collapsed="false">
      <c r="A21" s="15" t="s">
        <v>44</v>
      </c>
      <c r="B21" s="12" t="n">
        <f aca="false">E13/(1+假设!$B$6)^假设!$B$7</f>
        <v>353.792919703566</v>
      </c>
    </row>
    <row r="22" customFormat="false" ht="15" hidden="false" customHeight="false" outlineLevel="0" collapsed="false">
      <c r="A22" s="4" t="s">
        <v>45</v>
      </c>
      <c r="B22" s="7" t="n">
        <f aca="false">假设!$B$4/B21-1</f>
        <v>0.187813482395603</v>
      </c>
    </row>
    <row r="23" customFormat="false" ht="15" hidden="false" customHeight="false" outlineLevel="0" collapsed="false">
      <c r="A23" s="4" t="s">
        <v>46</v>
      </c>
      <c r="B23" s="18" t="n">
        <f aca="false">B21*(1-假设!$B$8)</f>
        <v>300.723981748031</v>
      </c>
    </row>
    <row r="24" customFormat="false" ht="15" hidden="false" customHeight="false" outlineLevel="0" collapsed="false">
      <c r="A24" s="4" t="s">
        <v>47</v>
      </c>
      <c r="B24" s="3" t="str">
        <f aca="false">TEXT(B23,"$0")&amp;" – "&amp;TEXT(B21,"$0")</f>
        <v>$301 – $354</v>
      </c>
    </row>
    <row r="25" customFormat="false" ht="15" hidden="false" customHeight="false" outlineLevel="0" collapsed="false">
      <c r="A25" s="15" t="s">
        <v>48</v>
      </c>
      <c r="B25" s="14" t="str">
        <f aca="false">IF(假设!$B$4&lt;=B23,"积极买入",IF(假设!$B$4&lt;=B21,"分批建仓",IF(假设!$B$4&lt;=E13,"观望 / 持有不加仓","高估 / 考虑减持")))</f>
        <v>观望 / 持有不加仓</v>
      </c>
    </row>
    <row r="26" customFormat="false" ht="15" hidden="false" customHeight="false" outlineLevel="0" collapsed="false">
      <c r="A26" s="4" t="s">
        <v>49</v>
      </c>
      <c r="B26" s="18" t="n">
        <f aca="false">假设!$B$4*(1+假设!$B$6)^假设!$B$7/情景模型!B74</f>
        <v>18.644648</v>
      </c>
    </row>
    <row r="27" customFormat="false" ht="15" hidden="false" customHeight="false" outlineLevel="0" collapsed="false">
      <c r="A27" s="4" t="s">
        <v>50</v>
      </c>
      <c r="B27" s="7" t="n">
        <f aca="false">(B26/情景模型!C71)^(1/3)-1</f>
        <v>0.19424016622003</v>
      </c>
    </row>
    <row r="28" customFormat="false" ht="15" hidden="false" customHeight="false" outlineLevel="0" collapsed="false">
      <c r="A28" s="4" t="s">
        <v>51</v>
      </c>
      <c r="B28" s="3" t="str">
        <f aca="false">IF(ROUND(假设!$B$62,4)=1,"OK","概率合计不等于 100%")</f>
        <v>OK</v>
      </c>
    </row>
    <row r="30" customFormat="false" ht="15" hidden="false" customHeight="false" outlineLevel="0" collapsed="false">
      <c r="A30" s="16" t="s">
        <v>52</v>
      </c>
      <c r="B30" s="17"/>
      <c r="C30" s="17"/>
      <c r="D30" s="17"/>
      <c r="E30" s="17"/>
    </row>
    <row r="31" customFormat="false" ht="15" hidden="false" customHeight="false" outlineLevel="0" collapsed="false">
      <c r="A31" s="5" t="s">
        <v>24</v>
      </c>
      <c r="B31" s="5" t="s">
        <v>53</v>
      </c>
      <c r="C31" s="5" t="s">
        <v>54</v>
      </c>
      <c r="D31" s="5" t="s">
        <v>55</v>
      </c>
      <c r="E31" s="5"/>
    </row>
    <row r="32" customFormat="false" ht="15" hidden="false" customHeight="false" outlineLevel="0" collapsed="false">
      <c r="A32" s="3" t="s">
        <v>56</v>
      </c>
      <c r="B32" s="8" t="n">
        <f aca="false">情景模型!C54</f>
        <v>11771.9289408578</v>
      </c>
      <c r="C32" s="8" t="n">
        <f aca="false">假设!$B$15</f>
        <v>11760</v>
      </c>
      <c r="D32" s="7" t="n">
        <f aca="false">B32/C32-1</f>
        <v>0.00101436571919789</v>
      </c>
    </row>
    <row r="33" customFormat="false" ht="15" hidden="false" customHeight="false" outlineLevel="0" collapsed="false">
      <c r="A33" s="3" t="s">
        <v>57</v>
      </c>
      <c r="B33" s="11" t="n">
        <f aca="false">情景模型!C71</f>
        <v>10.9465979386288</v>
      </c>
      <c r="C33" s="11" t="n">
        <f aca="false">假设!$B$16</f>
        <v>10.8</v>
      </c>
      <c r="D33" s="7" t="n">
        <f aca="false">B33/C33-1</f>
        <v>0.0135738832063688</v>
      </c>
    </row>
    <row r="34" customFormat="false" ht="15" hidden="false" customHeight="false" outlineLevel="0" collapsed="false">
      <c r="A34" s="3" t="s">
        <v>58</v>
      </c>
      <c r="B34" s="11" t="n">
        <f aca="false">情景模型!D71</f>
        <v>11.9227041123546</v>
      </c>
      <c r="C34" s="11" t="n">
        <f aca="false">假设!$B$17</f>
        <v>12.11</v>
      </c>
      <c r="D34" s="7" t="n">
        <f aca="false">B34/C34-1</f>
        <v>-0.0154662169814543</v>
      </c>
    </row>
    <row r="35" customFormat="false" ht="15" hidden="false" customHeight="false" outlineLevel="0" collapsed="false">
      <c r="A35" s="4" t="s">
        <v>59</v>
      </c>
    </row>
    <row r="37" customFormat="false" ht="15" hidden="false" customHeight="false" outlineLevel="0" collapsed="false">
      <c r="A37" s="16" t="s">
        <v>60</v>
      </c>
      <c r="B37" s="17"/>
      <c r="C37" s="17"/>
      <c r="D37" s="17"/>
      <c r="E37" s="17"/>
    </row>
    <row r="38" customFormat="false" ht="15" hidden="false" customHeight="false" outlineLevel="0" collapsed="false">
      <c r="A38" s="15" t="s">
        <v>25</v>
      </c>
      <c r="B38" s="4" t="s">
        <v>61</v>
      </c>
    </row>
    <row r="39" customFormat="false" ht="15" hidden="false" customHeight="false" outlineLevel="0" collapsed="false">
      <c r="A39" s="15" t="s">
        <v>26</v>
      </c>
      <c r="B39" s="4" t="s">
        <v>62</v>
      </c>
    </row>
    <row r="40" customFormat="false" ht="15" hidden="false" customHeight="false" outlineLevel="0" collapsed="false">
      <c r="A40" s="15" t="s">
        <v>27</v>
      </c>
      <c r="B40" s="4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9" min="3" style="0" width="11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4" t="s">
        <v>65</v>
      </c>
    </row>
    <row r="4" customFormat="false" ht="15" hidden="false" customHeight="false" outlineLevel="0" collapsed="false">
      <c r="A4" s="5" t="s">
        <v>66</v>
      </c>
      <c r="B4" s="5" t="s">
        <v>67</v>
      </c>
      <c r="C4" s="19" t="s">
        <v>68</v>
      </c>
      <c r="D4" s="19" t="s">
        <v>69</v>
      </c>
      <c r="E4" s="19" t="s">
        <v>70</v>
      </c>
      <c r="F4" s="19" t="s">
        <v>71</v>
      </c>
      <c r="G4" s="19" t="s">
        <v>72</v>
      </c>
      <c r="H4" s="19" t="s">
        <v>73</v>
      </c>
      <c r="I4" s="19" t="s">
        <v>74</v>
      </c>
      <c r="J4" s="5" t="s">
        <v>75</v>
      </c>
    </row>
    <row r="5" customFormat="false" ht="15" hidden="false" customHeight="false" outlineLevel="0" collapsed="false">
      <c r="A5" s="4" t="s">
        <v>76</v>
      </c>
      <c r="B5" s="3" t="s">
        <v>77</v>
      </c>
      <c r="C5" s="20" t="n">
        <v>3101</v>
      </c>
      <c r="D5" s="20" t="n">
        <v>3518</v>
      </c>
      <c r="E5" s="20" t="n">
        <v>4276.6</v>
      </c>
      <c r="F5" s="20" t="n">
        <v>5079</v>
      </c>
      <c r="G5" s="20" t="n">
        <v>6018.9</v>
      </c>
      <c r="H5" s="20" t="n">
        <v>2841.8</v>
      </c>
      <c r="I5" s="20" t="n">
        <v>3421.3</v>
      </c>
      <c r="J5" s="3" t="s">
        <v>78</v>
      </c>
    </row>
    <row r="6" customFormat="false" ht="15" hidden="false" customHeight="false" outlineLevel="0" collapsed="false">
      <c r="A6" s="4" t="s">
        <v>79</v>
      </c>
      <c r="B6" s="3" t="s">
        <v>77</v>
      </c>
      <c r="C6" s="20" t="n">
        <v>1693</v>
      </c>
      <c r="D6" s="20" t="n">
        <v>1680</v>
      </c>
      <c r="E6" s="20" t="n">
        <v>1679.7</v>
      </c>
      <c r="F6" s="20" t="n">
        <v>1966</v>
      </c>
      <c r="G6" s="20" t="n">
        <v>2473.7</v>
      </c>
      <c r="H6" s="20" t="n">
        <v>1097.4</v>
      </c>
      <c r="I6" s="20" t="n">
        <v>1335.7</v>
      </c>
      <c r="J6" s="4" t="s">
        <v>80</v>
      </c>
    </row>
    <row r="7" customFormat="false" ht="15" hidden="false" customHeight="false" outlineLevel="0" collapsed="false">
      <c r="A7" s="4" t="s">
        <v>81</v>
      </c>
      <c r="B7" s="3" t="s">
        <v>77</v>
      </c>
      <c r="C7" s="20" t="n">
        <v>916.2</v>
      </c>
      <c r="D7" s="20" t="n">
        <v>1024</v>
      </c>
      <c r="E7" s="20" t="n">
        <v>1167.8</v>
      </c>
      <c r="F7" s="20" t="n">
        <v>1307.1</v>
      </c>
      <c r="G7" s="20" t="n">
        <v>1572.1</v>
      </c>
      <c r="H7" s="20" t="n">
        <v>754.2</v>
      </c>
      <c r="I7" s="20" t="n">
        <v>906.1</v>
      </c>
      <c r="J7" s="3"/>
    </row>
    <row r="8" customFormat="false" ht="15" hidden="false" customHeight="false" outlineLevel="0" collapsed="false">
      <c r="A8" s="4" t="s">
        <v>82</v>
      </c>
      <c r="B8" s="3" t="s">
        <v>77</v>
      </c>
      <c r="C8" s="21" t="n">
        <f aca="false">C5+C6+C7</f>
        <v>5710.2</v>
      </c>
      <c r="D8" s="21" t="n">
        <f aca="false">D5+D6+D7</f>
        <v>6222</v>
      </c>
      <c r="E8" s="21" t="n">
        <f aca="false">E5+E6+E7</f>
        <v>7124.1</v>
      </c>
      <c r="F8" s="21" t="n">
        <f aca="false">F5+F6+F7</f>
        <v>8352.1</v>
      </c>
      <c r="G8" s="21" t="n">
        <f aca="false">G5+G6+G7</f>
        <v>10064.7</v>
      </c>
      <c r="H8" s="21" t="n">
        <f aca="false">H5+H6+H7</f>
        <v>4693.4</v>
      </c>
      <c r="I8" s="21" t="n">
        <f aca="false">I5+I6+I7</f>
        <v>5663.1</v>
      </c>
      <c r="J8" s="4" t="s">
        <v>83</v>
      </c>
    </row>
    <row r="9" customFormat="false" ht="15" hidden="false" customHeight="false" outlineLevel="0" collapsed="false">
      <c r="A9" s="4" t="s">
        <v>84</v>
      </c>
      <c r="B9" s="3" t="s">
        <v>77</v>
      </c>
      <c r="C9" s="20" t="n">
        <v>3958.5</v>
      </c>
      <c r="D9" s="20" t="n">
        <v>4196</v>
      </c>
      <c r="E9" s="20" t="n">
        <v>4729.5</v>
      </c>
      <c r="F9" s="20" t="n">
        <v>5634.2</v>
      </c>
      <c r="G9" s="20" t="n">
        <v>6642.3</v>
      </c>
      <c r="H9" s="20" t="n">
        <v>3075.6</v>
      </c>
      <c r="I9" s="20" t="n">
        <v>3790.9</v>
      </c>
      <c r="J9" s="3" t="s">
        <v>85</v>
      </c>
    </row>
    <row r="10" customFormat="false" ht="15" hidden="false" customHeight="false" outlineLevel="0" collapsed="false">
      <c r="A10" s="4" t="s">
        <v>86</v>
      </c>
      <c r="B10" s="3" t="s">
        <v>77</v>
      </c>
      <c r="C10" s="20" t="n">
        <v>1466.5</v>
      </c>
      <c r="D10" s="20" t="n">
        <v>1739.9</v>
      </c>
      <c r="E10" s="20" t="n">
        <v>1963.9</v>
      </c>
      <c r="F10" s="20" t="n">
        <v>2140</v>
      </c>
      <c r="G10" s="20" t="n">
        <v>2385</v>
      </c>
      <c r="H10" s="20" t="n">
        <v>1124.6</v>
      </c>
      <c r="I10" s="20" t="n">
        <v>1231.2</v>
      </c>
      <c r="J10" s="3" t="s">
        <v>87</v>
      </c>
    </row>
    <row r="11" customFormat="false" ht="15" hidden="false" customHeight="false" outlineLevel="0" collapsed="false">
      <c r="A11" s="4" t="s">
        <v>88</v>
      </c>
      <c r="B11" s="3" t="s">
        <v>77</v>
      </c>
      <c r="C11" s="20" t="n">
        <v>671</v>
      </c>
      <c r="D11" s="20" t="n">
        <v>879</v>
      </c>
      <c r="E11" s="20" t="n">
        <v>998.8</v>
      </c>
      <c r="F11" s="20" t="n">
        <v>1145.3</v>
      </c>
      <c r="G11" s="20" t="n">
        <v>1311.8</v>
      </c>
      <c r="H11" s="20" t="n">
        <v>629.5</v>
      </c>
      <c r="I11" s="20" t="n">
        <v>732.5</v>
      </c>
      <c r="J11" s="3" t="s">
        <v>87</v>
      </c>
    </row>
    <row r="12" customFormat="false" ht="15" hidden="false" customHeight="false" outlineLevel="0" collapsed="false">
      <c r="A12" s="4" t="s">
        <v>89</v>
      </c>
      <c r="B12" s="3" t="s">
        <v>77</v>
      </c>
      <c r="C12" s="22" t="n">
        <f aca="false">C10+C11</f>
        <v>2137.5</v>
      </c>
      <c r="D12" s="22" t="n">
        <f aca="false">D10+D11</f>
        <v>2618.9</v>
      </c>
      <c r="E12" s="22" t="n">
        <f aca="false">E10+E11</f>
        <v>2962.7</v>
      </c>
      <c r="F12" s="22" t="n">
        <f aca="false">F10+F11</f>
        <v>3285.3</v>
      </c>
      <c r="G12" s="22" t="n">
        <f aca="false">G10+G11</f>
        <v>3696.8</v>
      </c>
      <c r="H12" s="22" t="n">
        <f aca="false">H10+H11</f>
        <v>1754.1</v>
      </c>
      <c r="I12" s="22" t="n">
        <f aca="false">I10+I11</f>
        <v>1963.7</v>
      </c>
      <c r="J12" s="4" t="s">
        <v>90</v>
      </c>
    </row>
    <row r="13" customFormat="false" ht="15" hidden="false" customHeight="false" outlineLevel="0" collapsed="false">
      <c r="A13" s="4" t="s">
        <v>91</v>
      </c>
      <c r="B13" s="3" t="s">
        <v>77</v>
      </c>
      <c r="C13" s="21" t="n">
        <f aca="false">C9-C12</f>
        <v>1821</v>
      </c>
      <c r="D13" s="21" t="n">
        <f aca="false">D9-D12</f>
        <v>1577.1</v>
      </c>
      <c r="E13" s="21" t="n">
        <f aca="false">E9-E12</f>
        <v>1766.8</v>
      </c>
      <c r="F13" s="21" t="n">
        <f aca="false">F9-F12</f>
        <v>2348.9</v>
      </c>
      <c r="G13" s="21" t="n">
        <f aca="false">G9-G12</f>
        <v>2945.5</v>
      </c>
      <c r="H13" s="21" t="n">
        <f aca="false">H9-H12</f>
        <v>1321.5</v>
      </c>
      <c r="I13" s="21" t="n">
        <f aca="false">I9-I12</f>
        <v>1827.2</v>
      </c>
      <c r="J13" s="4" t="s">
        <v>92</v>
      </c>
    </row>
    <row r="14" customFormat="false" ht="15" hidden="false" customHeight="false" outlineLevel="0" collapsed="false">
      <c r="A14" s="4" t="s">
        <v>93</v>
      </c>
      <c r="B14" s="3" t="s">
        <v>77</v>
      </c>
      <c r="C14" s="20" t="n">
        <v>69.3</v>
      </c>
      <c r="D14" s="20" t="n">
        <v>29.7</v>
      </c>
      <c r="E14" s="20" t="n">
        <v>192.1</v>
      </c>
      <c r="F14" s="20" t="n">
        <v>324.9</v>
      </c>
      <c r="G14" s="20" t="n">
        <v>365.9</v>
      </c>
      <c r="H14" s="20" t="n">
        <v>179.1</v>
      </c>
      <c r="I14" s="20" t="n">
        <v>167.8</v>
      </c>
      <c r="J14" s="3" t="s">
        <v>94</v>
      </c>
    </row>
    <row r="15" customFormat="false" ht="15" hidden="false" customHeight="false" outlineLevel="0" collapsed="false">
      <c r="A15" s="4" t="s">
        <v>95</v>
      </c>
      <c r="B15" s="3" t="s">
        <v>77</v>
      </c>
      <c r="C15" s="20" t="n">
        <v>1890.3</v>
      </c>
      <c r="D15" s="20" t="n">
        <v>1606.8</v>
      </c>
      <c r="E15" s="20" t="n">
        <v>1958.9</v>
      </c>
      <c r="F15" s="20" t="n">
        <v>2673.8</v>
      </c>
      <c r="G15" s="20" t="n">
        <v>3311.4</v>
      </c>
      <c r="H15" s="20" t="n">
        <v>1500.6</v>
      </c>
      <c r="I15" s="20" t="n">
        <v>1995</v>
      </c>
      <c r="J15" s="3" t="s">
        <v>87</v>
      </c>
    </row>
    <row r="16" customFormat="false" ht="15" hidden="false" customHeight="false" outlineLevel="0" collapsed="false">
      <c r="A16" s="4" t="s">
        <v>96</v>
      </c>
      <c r="B16" s="3" t="s">
        <v>77</v>
      </c>
      <c r="C16" s="20" t="n">
        <v>162.2</v>
      </c>
      <c r="D16" s="20" t="n">
        <v>262.4</v>
      </c>
      <c r="E16" s="20" t="n">
        <v>141.6</v>
      </c>
      <c r="F16" s="20" t="n">
        <v>336.3</v>
      </c>
      <c r="G16" s="20" t="n">
        <v>434.8</v>
      </c>
      <c r="H16" s="20" t="n">
        <v>132.7</v>
      </c>
      <c r="I16" s="20" t="n">
        <v>345.8</v>
      </c>
      <c r="J16" s="3" t="s">
        <v>87</v>
      </c>
    </row>
    <row r="17" customFormat="false" ht="15" hidden="false" customHeight="false" outlineLevel="0" collapsed="false">
      <c r="A17" s="4" t="s">
        <v>97</v>
      </c>
      <c r="B17" s="3" t="s">
        <v>77</v>
      </c>
      <c r="C17" s="20" t="n">
        <v>23.5</v>
      </c>
      <c r="D17" s="20" t="n">
        <v>22.1</v>
      </c>
      <c r="E17" s="20" t="n">
        <v>19.3</v>
      </c>
      <c r="F17" s="20" t="n">
        <v>14.9</v>
      </c>
      <c r="G17" s="20" t="n">
        <v>20.6</v>
      </c>
      <c r="H17" s="20" t="n">
        <v>11.1</v>
      </c>
      <c r="I17" s="20" t="n">
        <v>9.6</v>
      </c>
      <c r="J17" s="3" t="s">
        <v>98</v>
      </c>
    </row>
    <row r="18" customFormat="false" ht="15" hidden="false" customHeight="false" outlineLevel="0" collapsed="false">
      <c r="A18" s="3" t="s">
        <v>99</v>
      </c>
      <c r="B18" s="3" t="s">
        <v>77</v>
      </c>
      <c r="C18" s="20" t="n">
        <v>1704.6</v>
      </c>
      <c r="D18" s="20" t="n">
        <v>1322.3</v>
      </c>
      <c r="E18" s="20" t="n">
        <v>1798</v>
      </c>
      <c r="F18" s="20" t="n">
        <v>2322.6</v>
      </c>
      <c r="G18" s="20" t="n">
        <v>2856</v>
      </c>
      <c r="H18" s="20" t="n">
        <v>1356.8</v>
      </c>
      <c r="I18" s="20" t="n">
        <v>1639.6</v>
      </c>
      <c r="J18" s="3" t="s">
        <v>100</v>
      </c>
    </row>
    <row r="19" customFormat="false" ht="15" hidden="false" customHeight="false" outlineLevel="0" collapsed="false">
      <c r="A19" s="4" t="s">
        <v>101</v>
      </c>
      <c r="B19" s="4" t="s">
        <v>102</v>
      </c>
      <c r="C19" s="20" t="n">
        <v>365.8</v>
      </c>
      <c r="D19" s="20" t="n">
        <v>362</v>
      </c>
      <c r="E19" s="20" t="n">
        <v>357.4</v>
      </c>
      <c r="F19" s="20" t="n">
        <v>362</v>
      </c>
      <c r="G19" s="20" t="n">
        <v>362.7</v>
      </c>
      <c r="H19" s="20" t="n">
        <v>364.4</v>
      </c>
      <c r="I19" s="20" t="n">
        <v>358.5</v>
      </c>
      <c r="J19" s="3" t="s">
        <v>87</v>
      </c>
    </row>
    <row r="20" customFormat="false" ht="15" hidden="false" customHeight="false" outlineLevel="0" collapsed="false">
      <c r="A20" s="3" t="s">
        <v>103</v>
      </c>
      <c r="B20" s="3" t="s">
        <v>104</v>
      </c>
      <c r="C20" s="23" t="n">
        <v>4.66</v>
      </c>
      <c r="D20" s="23" t="n">
        <v>3.65</v>
      </c>
      <c r="E20" s="23" t="n">
        <v>5.03</v>
      </c>
      <c r="F20" s="23" t="n">
        <v>6.42</v>
      </c>
      <c r="G20" s="23" t="n">
        <v>7.87</v>
      </c>
      <c r="H20" s="23" t="n">
        <v>3.72</v>
      </c>
      <c r="I20" s="23" t="n">
        <v>4.57</v>
      </c>
      <c r="J20" s="4" t="s">
        <v>105</v>
      </c>
    </row>
    <row r="21" customFormat="false" ht="15" hidden="false" customHeight="false" outlineLevel="0" collapsed="false">
      <c r="A21" s="4" t="s">
        <v>106</v>
      </c>
      <c r="B21" s="3" t="s">
        <v>104</v>
      </c>
      <c r="C21" s="24"/>
      <c r="D21" s="24"/>
      <c r="E21" s="24"/>
      <c r="F21" s="24"/>
      <c r="G21" s="23" t="n">
        <v>8.93</v>
      </c>
      <c r="H21" s="23" t="n">
        <v>4</v>
      </c>
      <c r="I21" s="23" t="n">
        <v>5.31</v>
      </c>
      <c r="J21" s="3" t="s">
        <v>107</v>
      </c>
    </row>
    <row r="22" customFormat="false" ht="15" hidden="false" customHeight="false" outlineLevel="0" collapsed="false">
      <c r="A22" s="4" t="s">
        <v>108</v>
      </c>
      <c r="B22" s="3" t="s">
        <v>77</v>
      </c>
      <c r="C22" s="20" t="n">
        <v>449.2</v>
      </c>
      <c r="D22" s="20" t="n">
        <v>513.2</v>
      </c>
      <c r="E22" s="20" t="n">
        <v>592.8</v>
      </c>
      <c r="F22" s="20" t="n">
        <v>676.8</v>
      </c>
      <c r="G22" s="20" t="n">
        <v>788.2</v>
      </c>
      <c r="H22" s="20" t="n">
        <v>381.4</v>
      </c>
      <c r="I22" s="20" t="n">
        <v>419.4</v>
      </c>
      <c r="J22" s="4" t="s">
        <v>109</v>
      </c>
    </row>
    <row r="23" customFormat="false" ht="15" hidden="false" customHeight="false" outlineLevel="0" collapsed="false">
      <c r="A23" s="4" t="s">
        <v>110</v>
      </c>
      <c r="B23" s="3" t="s">
        <v>77</v>
      </c>
      <c r="C23" s="20" t="n">
        <v>2089.4</v>
      </c>
      <c r="D23" s="20" t="n">
        <v>1490.8</v>
      </c>
      <c r="E23" s="20" t="n">
        <v>1813.8</v>
      </c>
      <c r="F23" s="20" t="n">
        <v>2415</v>
      </c>
      <c r="G23" s="20" t="n">
        <v>3030.5</v>
      </c>
      <c r="H23" s="20" t="n">
        <v>1297</v>
      </c>
      <c r="I23" s="20" t="n">
        <v>1972.9</v>
      </c>
      <c r="J23" s="3"/>
    </row>
    <row r="24" customFormat="false" ht="15" hidden="false" customHeight="false" outlineLevel="0" collapsed="false">
      <c r="A24" s="4" t="s">
        <v>111</v>
      </c>
      <c r="B24" s="3" t="s">
        <v>77</v>
      </c>
      <c r="C24" s="20" t="n">
        <v>339.5</v>
      </c>
      <c r="D24" s="20" t="n">
        <v>532.4</v>
      </c>
      <c r="E24" s="20" t="n">
        <v>1064.2</v>
      </c>
      <c r="F24" s="20" t="n">
        <v>1111.2</v>
      </c>
      <c r="G24" s="20" t="n">
        <v>539.8</v>
      </c>
      <c r="H24" s="20" t="n">
        <v>271.9</v>
      </c>
      <c r="I24" s="20" t="n">
        <v>215.9</v>
      </c>
      <c r="J24" s="3" t="s">
        <v>112</v>
      </c>
    </row>
    <row r="25" customFormat="false" ht="15" hidden="false" customHeight="false" outlineLevel="0" collapsed="false">
      <c r="A25" s="4" t="s">
        <v>113</v>
      </c>
      <c r="B25" s="3" t="s">
        <v>77</v>
      </c>
      <c r="C25" s="22" t="n">
        <f aca="false">C23-C24</f>
        <v>1749.9</v>
      </c>
      <c r="D25" s="22" t="n">
        <f aca="false">D23-D24</f>
        <v>958.4</v>
      </c>
      <c r="E25" s="22" t="n">
        <f aca="false">E23-E24</f>
        <v>749.6</v>
      </c>
      <c r="F25" s="22" t="n">
        <f aca="false">F23-F24</f>
        <v>1303.8</v>
      </c>
      <c r="G25" s="22" t="n">
        <f aca="false">G23-G24</f>
        <v>2490.7</v>
      </c>
      <c r="H25" s="22" t="n">
        <f aca="false">H23-H24</f>
        <v>1025.1</v>
      </c>
      <c r="I25" s="22" t="n">
        <f aca="false">I23-I24</f>
        <v>1757</v>
      </c>
      <c r="J25" s="4" t="s">
        <v>114</v>
      </c>
    </row>
    <row r="26" customFormat="false" ht="15" hidden="false" customHeight="false" outlineLevel="0" collapsed="false">
      <c r="A26" s="3" t="s">
        <v>115</v>
      </c>
      <c r="B26" s="4" t="s">
        <v>116</v>
      </c>
      <c r="C26" s="25" t="n">
        <v>1594</v>
      </c>
      <c r="D26" s="25" t="n">
        <v>1875</v>
      </c>
      <c r="E26" s="25" t="n">
        <v>2286</v>
      </c>
      <c r="F26" s="25" t="n">
        <v>2683</v>
      </c>
      <c r="G26" s="25" t="n">
        <v>3153</v>
      </c>
      <c r="H26" s="25" t="n">
        <v>1507</v>
      </c>
      <c r="I26" s="25" t="n">
        <v>1737</v>
      </c>
      <c r="J26" s="3" t="s">
        <v>117</v>
      </c>
    </row>
    <row r="27" customFormat="false" ht="15" hidden="false" customHeight="false" outlineLevel="0" collapsed="false">
      <c r="A27" s="3" t="s">
        <v>118</v>
      </c>
      <c r="B27" s="4" t="s">
        <v>119</v>
      </c>
      <c r="C27" s="25" t="n">
        <v>6730</v>
      </c>
      <c r="D27" s="25" t="n">
        <v>7544</v>
      </c>
      <c r="E27" s="25" t="n">
        <v>8606</v>
      </c>
      <c r="F27" s="25" t="n">
        <v>9902</v>
      </c>
      <c r="G27" s="25" t="n">
        <v>11106</v>
      </c>
      <c r="H27" s="25" t="n">
        <v>10488</v>
      </c>
      <c r="I27" s="25" t="n">
        <v>11710</v>
      </c>
      <c r="J27" s="3" t="s">
        <v>120</v>
      </c>
    </row>
    <row r="28" customFormat="false" ht="15" hidden="false" customHeight="false" outlineLevel="0" collapsed="false">
      <c r="A28" s="3" t="s">
        <v>121</v>
      </c>
      <c r="B28" s="4" t="s">
        <v>119</v>
      </c>
      <c r="C28" s="25" t="n">
        <v>1347</v>
      </c>
      <c r="D28" s="25" t="n">
        <v>1264</v>
      </c>
      <c r="E28" s="25" t="n">
        <v>1370</v>
      </c>
      <c r="F28" s="25" t="n">
        <v>1526</v>
      </c>
      <c r="G28" s="25" t="n">
        <v>1721</v>
      </c>
      <c r="H28" s="25" t="n">
        <v>762</v>
      </c>
      <c r="I28" s="25" t="n">
        <v>899</v>
      </c>
      <c r="J28" s="3"/>
    </row>
    <row r="29" customFormat="false" ht="15" hidden="false" customHeight="false" outlineLevel="0" collapsed="false">
      <c r="A29" s="4" t="s">
        <v>122</v>
      </c>
      <c r="B29" s="4" t="s">
        <v>119</v>
      </c>
      <c r="C29" s="25" t="n">
        <v>510</v>
      </c>
      <c r="D29" s="25" t="n">
        <v>345</v>
      </c>
      <c r="E29" s="25" t="n">
        <v>240</v>
      </c>
      <c r="F29" s="25" t="n">
        <v>150</v>
      </c>
      <c r="G29" s="25" t="n">
        <v>437</v>
      </c>
      <c r="H29" s="25" t="n">
        <v>150</v>
      </c>
      <c r="I29" s="25" t="n">
        <v>263</v>
      </c>
      <c r="J29" s="3"/>
    </row>
    <row r="31" customFormat="false" ht="15" hidden="false" customHeight="false" outlineLevel="0" collapsed="false">
      <c r="A31" s="16" t="s">
        <v>123</v>
      </c>
      <c r="B31" s="17"/>
      <c r="C31" s="17"/>
      <c r="D31" s="17"/>
      <c r="E31" s="17"/>
      <c r="F31" s="17"/>
      <c r="G31" s="17"/>
      <c r="H31" s="17"/>
      <c r="I31" s="17"/>
      <c r="J31" s="17"/>
    </row>
    <row r="32" customFormat="false" ht="15" hidden="false" customHeight="false" outlineLevel="0" collapsed="false">
      <c r="A32" s="4" t="s">
        <v>124</v>
      </c>
      <c r="C32" s="7" t="n">
        <f aca="false">C8/4358.4-1</f>
        <v>0.310159691629956</v>
      </c>
      <c r="D32" s="7" t="n">
        <f aca="false">IF(C8=0,"",D8/C8-1)</f>
        <v>0.0896290847956289</v>
      </c>
      <c r="E32" s="7" t="n">
        <f aca="false">IF(D8=0,"",E8/D8-1)</f>
        <v>0.144985535197686</v>
      </c>
      <c r="F32" s="7" t="n">
        <f aca="false">IF(E8=0,"",F8/E8-1)</f>
        <v>0.172372650580424</v>
      </c>
      <c r="G32" s="7" t="n">
        <f aca="false">IF(F8=0,"",G8/F8-1)</f>
        <v>0.205050226889046</v>
      </c>
      <c r="I32" s="7" t="n">
        <f aca="false">IF(H8=0,"",I8/H8-1)</f>
        <v>0.206609281118166</v>
      </c>
      <c r="J32" s="3" t="s">
        <v>125</v>
      </c>
    </row>
    <row r="33" customFormat="false" ht="15" hidden="false" customHeight="false" outlineLevel="0" collapsed="false">
      <c r="A33" s="4" t="s">
        <v>126</v>
      </c>
      <c r="C33" s="7" t="n">
        <f aca="false">C9/C8</f>
        <v>0.693233161710623</v>
      </c>
      <c r="D33" s="7" t="n">
        <f aca="false">D9/D8</f>
        <v>0.674381227900996</v>
      </c>
      <c r="E33" s="7" t="n">
        <f aca="false">E9/E8</f>
        <v>0.663873331368173</v>
      </c>
      <c r="F33" s="7" t="n">
        <f aca="false">F9/F8</f>
        <v>0.674584834951689</v>
      </c>
      <c r="G33" s="7" t="n">
        <f aca="false">G9/G8</f>
        <v>0.65996005842201</v>
      </c>
      <c r="H33" s="7" t="n">
        <f aca="false">H9/H8</f>
        <v>0.655303191716027</v>
      </c>
      <c r="I33" s="7" t="n">
        <f aca="false">I9/I8</f>
        <v>0.669403683494906</v>
      </c>
    </row>
    <row r="34" customFormat="false" ht="15" hidden="false" customHeight="false" outlineLevel="0" collapsed="false">
      <c r="A34" s="4" t="s">
        <v>127</v>
      </c>
      <c r="C34" s="7" t="n">
        <f aca="false">C13/C8</f>
        <v>0.318903015656194</v>
      </c>
      <c r="D34" s="7" t="n">
        <f aca="false">D13/D8</f>
        <v>0.253471552555448</v>
      </c>
      <c r="E34" s="7" t="n">
        <f aca="false">E13/E8</f>
        <v>0.248003256551705</v>
      </c>
      <c r="F34" s="7" t="n">
        <f aca="false">F13/F8</f>
        <v>0.281234659546701</v>
      </c>
      <c r="G34" s="7" t="n">
        <f aca="false">G13/G8</f>
        <v>0.292656512364999</v>
      </c>
      <c r="H34" s="7" t="n">
        <f aca="false">H13/H8</f>
        <v>0.281565602761324</v>
      </c>
      <c r="I34" s="7" t="n">
        <f aca="false">I13/I8</f>
        <v>0.322650138616659</v>
      </c>
    </row>
    <row r="35" customFormat="false" ht="15" hidden="false" customHeight="false" outlineLevel="0" collapsed="false">
      <c r="A35" s="4" t="s">
        <v>128</v>
      </c>
      <c r="C35" s="7" t="n">
        <f aca="false">C18/C8</f>
        <v>0.29851844068509</v>
      </c>
      <c r="D35" s="7" t="n">
        <f aca="false">D18/D8</f>
        <v>0.212520090003214</v>
      </c>
      <c r="E35" s="7" t="n">
        <f aca="false">E18/E8</f>
        <v>0.252382757120198</v>
      </c>
      <c r="F35" s="7" t="n">
        <f aca="false">F18/F8</f>
        <v>0.278085750888998</v>
      </c>
      <c r="G35" s="7" t="n">
        <f aca="false">G18/G8</f>
        <v>0.283764046618379</v>
      </c>
      <c r="H35" s="7" t="n">
        <f aca="false">H18/H8</f>
        <v>0.289086802744279</v>
      </c>
      <c r="I35" s="7" t="n">
        <f aca="false">I18/I8</f>
        <v>0.289523405908425</v>
      </c>
    </row>
    <row r="36" customFormat="false" ht="15" hidden="false" customHeight="false" outlineLevel="0" collapsed="false">
      <c r="A36" s="4" t="s">
        <v>129</v>
      </c>
      <c r="C36" s="7" t="n">
        <f aca="false">C16/C15</f>
        <v>0.0858064857430038</v>
      </c>
      <c r="D36" s="7" t="n">
        <f aca="false">D16/D15</f>
        <v>0.163305949713717</v>
      </c>
      <c r="E36" s="7" t="n">
        <f aca="false">E16/E15</f>
        <v>0.0722854663331461</v>
      </c>
      <c r="F36" s="7" t="n">
        <f aca="false">F16/F15</f>
        <v>0.125776049068741</v>
      </c>
      <c r="G36" s="7" t="n">
        <f aca="false">G16/G15</f>
        <v>0.131303980189648</v>
      </c>
      <c r="H36" s="7" t="n">
        <f aca="false">H16/H15</f>
        <v>0.0884312941490071</v>
      </c>
      <c r="I36" s="7" t="n">
        <f aca="false">I16/I15</f>
        <v>0.173333333333333</v>
      </c>
    </row>
    <row r="37" customFormat="false" ht="15" hidden="false" customHeight="false" outlineLevel="0" collapsed="false">
      <c r="A37" s="3" t="s">
        <v>130</v>
      </c>
      <c r="C37" s="7" t="n">
        <f aca="false">C22/C8</f>
        <v>0.0786662463661518</v>
      </c>
      <c r="D37" s="7" t="n">
        <f aca="false">D22/D8</f>
        <v>0.0824815171970428</v>
      </c>
      <c r="E37" s="7" t="n">
        <f aca="false">E22/E8</f>
        <v>0.0832105108013644</v>
      </c>
      <c r="F37" s="7" t="n">
        <f aca="false">F22/F8</f>
        <v>0.0810335125297829</v>
      </c>
      <c r="G37" s="7" t="n">
        <f aca="false">G22/G8</f>
        <v>0.0783133128657586</v>
      </c>
      <c r="H37" s="7" t="n">
        <f aca="false">H22/H8</f>
        <v>0.0812630502407636</v>
      </c>
      <c r="I37" s="7" t="n">
        <f aca="false">I22/I8</f>
        <v>0.0740583779202204</v>
      </c>
    </row>
    <row r="38" customFormat="false" ht="15" hidden="false" customHeight="false" outlineLevel="0" collapsed="false">
      <c r="A38" s="4" t="s">
        <v>131</v>
      </c>
      <c r="C38" s="7" t="n">
        <f aca="false">C26/1243-1</f>
        <v>0.282381335478681</v>
      </c>
      <c r="D38" s="7" t="n">
        <f aca="false">IF(C26=0,"",D26/C26-1)</f>
        <v>0.176286072772898</v>
      </c>
      <c r="E38" s="7" t="n">
        <f aca="false">IF(D26=0,"",E26/D26-1)</f>
        <v>0.2192</v>
      </c>
      <c r="F38" s="7" t="n">
        <f aca="false">IF(E26=0,"",F26/E26-1)</f>
        <v>0.173665791776028</v>
      </c>
      <c r="G38" s="7" t="n">
        <f aca="false">IF(F26=0,"",G26/F26-1)</f>
        <v>0.175177040626165</v>
      </c>
      <c r="I38" s="7" t="n">
        <f aca="false">IF(H26=0,"",I26/H26-1)</f>
        <v>0.152621101526211</v>
      </c>
    </row>
    <row r="39" customFormat="false" ht="15" hidden="false" customHeight="false" outlineLevel="0" collapsed="false">
      <c r="A39" s="4" t="s">
        <v>132</v>
      </c>
      <c r="C39" s="26" t="n">
        <f aca="false">C5/C26*1000</f>
        <v>1945.42032622334</v>
      </c>
      <c r="D39" s="26" t="n">
        <f aca="false">D5/D26*1000</f>
        <v>1876.26666666667</v>
      </c>
      <c r="E39" s="26" t="n">
        <f aca="false">E5/E26*1000</f>
        <v>1870.77865266842</v>
      </c>
      <c r="F39" s="26" t="n">
        <f aca="false">F5/F26*1000</f>
        <v>1893.03019008572</v>
      </c>
      <c r="G39" s="26" t="n">
        <f aca="false">G5/G26*1000</f>
        <v>1908.94386298763</v>
      </c>
      <c r="H39" s="26" t="n">
        <f aca="false">H5/H26*1000</f>
        <v>1885.73324485733</v>
      </c>
      <c r="I39" s="26" t="n">
        <f aca="false">I5/I26*1000</f>
        <v>1969.66033390904</v>
      </c>
    </row>
    <row r="40" customFormat="false" ht="15" hidden="false" customHeight="false" outlineLevel="0" collapsed="false">
      <c r="A40" s="4" t="s">
        <v>133</v>
      </c>
      <c r="C40" s="7" t="n">
        <f aca="false">C27/5989-1</f>
        <v>0.123726832526298</v>
      </c>
      <c r="D40" s="7" t="n">
        <f aca="false">IF(C27=0,"",D27/C27-1)</f>
        <v>0.120950965824666</v>
      </c>
      <c r="E40" s="7" t="n">
        <f aca="false">IF(D27=0,"",E27/D27-1)</f>
        <v>0.140774125132556</v>
      </c>
      <c r="F40" s="7" t="n">
        <f aca="false">IF(E27=0,"",F27/E27-1)</f>
        <v>0.150592609807111</v>
      </c>
      <c r="G40" s="7" t="n">
        <f aca="false">IF(F27=0,"",G27/F27-1)</f>
        <v>0.121591597657039</v>
      </c>
    </row>
    <row r="41" customFormat="false" ht="15" hidden="false" customHeight="false" outlineLevel="0" collapsed="false">
      <c r="A41" s="4" t="s">
        <v>134</v>
      </c>
      <c r="C41" s="27" t="n">
        <f aca="false">C27-5989</f>
        <v>741</v>
      </c>
      <c r="D41" s="27" t="n">
        <f aca="false">D27-C27</f>
        <v>814</v>
      </c>
      <c r="E41" s="27" t="n">
        <f aca="false">E27-D27</f>
        <v>1062</v>
      </c>
      <c r="F41" s="27" t="n">
        <f aca="false">F27-E27</f>
        <v>1296</v>
      </c>
      <c r="G41" s="27" t="n">
        <f aca="false">G27-F27</f>
        <v>1204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28" t="s">
        <v>135</v>
      </c>
    </row>
    <row r="3" customFormat="false" ht="15" hidden="false" customHeight="false" outlineLevel="0" collapsed="false">
      <c r="A3" s="5" t="s">
        <v>136</v>
      </c>
      <c r="B3" s="5" t="s">
        <v>137</v>
      </c>
      <c r="C3" s="5" t="s">
        <v>138</v>
      </c>
    </row>
    <row r="4" customFormat="false" ht="15" hidden="false" customHeight="false" outlineLevel="0" collapsed="false">
      <c r="A4" s="4" t="s">
        <v>42</v>
      </c>
      <c r="B4" s="23" t="n">
        <v>420.24</v>
      </c>
      <c r="C4" s="3" t="s">
        <v>139</v>
      </c>
    </row>
    <row r="5" customFormat="false" ht="15" hidden="false" customHeight="false" outlineLevel="0" collapsed="false">
      <c r="A5" s="4" t="s">
        <v>140</v>
      </c>
      <c r="B5" s="20" t="n">
        <v>353.278038</v>
      </c>
      <c r="C5" s="3" t="s">
        <v>141</v>
      </c>
    </row>
    <row r="6" customFormat="false" ht="15" hidden="false" customHeight="false" outlineLevel="0" collapsed="false">
      <c r="A6" s="4" t="s">
        <v>142</v>
      </c>
      <c r="B6" s="29" t="n">
        <v>0.1</v>
      </c>
      <c r="C6" s="4" t="s">
        <v>143</v>
      </c>
    </row>
    <row r="7" customFormat="false" ht="15" hidden="false" customHeight="false" outlineLevel="0" collapsed="false">
      <c r="A7" s="4" t="s">
        <v>144</v>
      </c>
      <c r="B7" s="25" t="n">
        <v>3</v>
      </c>
      <c r="C7" s="4" t="s">
        <v>145</v>
      </c>
    </row>
    <row r="8" customFormat="false" ht="15" hidden="false" customHeight="false" outlineLevel="0" collapsed="false">
      <c r="A8" s="4" t="s">
        <v>146</v>
      </c>
      <c r="B8" s="29" t="n">
        <v>0.15</v>
      </c>
      <c r="C8" s="4" t="s">
        <v>147</v>
      </c>
    </row>
    <row r="9" customFormat="false" ht="15" hidden="false" customHeight="false" outlineLevel="0" collapsed="false">
      <c r="A9" s="3" t="s">
        <v>148</v>
      </c>
      <c r="B9" s="30" t="n">
        <v>0.19</v>
      </c>
      <c r="C9" s="3" t="s">
        <v>149</v>
      </c>
    </row>
    <row r="10" customFormat="false" ht="15" hidden="false" customHeight="false" outlineLevel="0" collapsed="false">
      <c r="A10" s="4" t="s">
        <v>150</v>
      </c>
      <c r="B10" s="30" t="n">
        <v>0.225</v>
      </c>
      <c r="C10" s="4" t="s">
        <v>151</v>
      </c>
    </row>
    <row r="11" customFormat="false" ht="15" hidden="false" customHeight="false" outlineLevel="0" collapsed="false">
      <c r="A11" s="4" t="s">
        <v>152</v>
      </c>
      <c r="B11" s="20" t="n">
        <v>20</v>
      </c>
      <c r="C11" s="3" t="s">
        <v>153</v>
      </c>
    </row>
    <row r="12" customFormat="false" ht="15" hidden="false" customHeight="false" outlineLevel="0" collapsed="false">
      <c r="A12" s="4" t="s">
        <v>154</v>
      </c>
      <c r="B12" s="20" t="n">
        <v>80</v>
      </c>
      <c r="C12" s="4" t="s">
        <v>155</v>
      </c>
    </row>
    <row r="13" customFormat="false" ht="15" hidden="false" customHeight="false" outlineLevel="0" collapsed="false">
      <c r="A13" s="3" t="s">
        <v>156</v>
      </c>
      <c r="B13" s="20" t="n">
        <v>890</v>
      </c>
      <c r="C13" s="4" t="s">
        <v>157</v>
      </c>
    </row>
    <row r="14" customFormat="false" ht="15" hidden="false" customHeight="false" outlineLevel="0" collapsed="false">
      <c r="A14" s="4" t="s">
        <v>158</v>
      </c>
      <c r="B14" s="30" t="n">
        <v>0.08</v>
      </c>
      <c r="C14" s="4" t="s">
        <v>159</v>
      </c>
    </row>
    <row r="15" customFormat="false" ht="15" hidden="false" customHeight="false" outlineLevel="0" collapsed="false">
      <c r="A15" s="4" t="s">
        <v>160</v>
      </c>
      <c r="B15" s="25" t="n">
        <v>11760</v>
      </c>
      <c r="C15" s="3" t="s">
        <v>161</v>
      </c>
    </row>
    <row r="16" customFormat="false" ht="15" hidden="false" customHeight="false" outlineLevel="0" collapsed="false">
      <c r="A16" s="4" t="s">
        <v>162</v>
      </c>
      <c r="B16" s="23" t="n">
        <v>10.8</v>
      </c>
      <c r="C16" s="4" t="s">
        <v>163</v>
      </c>
    </row>
    <row r="17" customFormat="false" ht="15" hidden="false" customHeight="false" outlineLevel="0" collapsed="false">
      <c r="A17" s="4" t="s">
        <v>164</v>
      </c>
      <c r="B17" s="23" t="n">
        <v>12.11</v>
      </c>
      <c r="C17" s="4" t="s">
        <v>165</v>
      </c>
    </row>
    <row r="19" customFormat="false" ht="15" hidden="false" customHeight="false" outlineLevel="0" collapsed="false">
      <c r="A19" s="2" t="s">
        <v>166</v>
      </c>
    </row>
    <row r="20" customFormat="false" ht="15" hidden="false" customHeight="false" outlineLevel="0" collapsed="false">
      <c r="A20" s="5"/>
      <c r="B20" s="19" t="s">
        <v>167</v>
      </c>
      <c r="C20" s="19" t="s">
        <v>168</v>
      </c>
      <c r="D20" s="19" t="s">
        <v>169</v>
      </c>
      <c r="E20" s="19" t="s">
        <v>170</v>
      </c>
      <c r="F20" s="5" t="s">
        <v>171</v>
      </c>
    </row>
    <row r="21" customFormat="false" ht="15" hidden="false" customHeight="false" outlineLevel="0" collapsed="false">
      <c r="A21" s="4" t="s">
        <v>93</v>
      </c>
      <c r="B21" s="25" t="n">
        <v>325</v>
      </c>
      <c r="C21" s="25" t="n">
        <v>340</v>
      </c>
      <c r="D21" s="25" t="n">
        <v>355</v>
      </c>
      <c r="E21" s="25" t="n">
        <v>370</v>
      </c>
      <c r="F21" s="3" t="s">
        <v>172</v>
      </c>
    </row>
    <row r="23" customFormat="false" ht="15" hidden="false" customHeight="false" outlineLevel="0" collapsed="false">
      <c r="A23" s="16" t="s">
        <v>173</v>
      </c>
      <c r="B23" s="17"/>
      <c r="C23" s="17"/>
      <c r="D23" s="17"/>
      <c r="E23" s="17"/>
      <c r="F23" s="17"/>
    </row>
    <row r="24" customFormat="false" ht="15" hidden="false" customHeight="false" outlineLevel="0" collapsed="false">
      <c r="A24" s="5" t="s">
        <v>174</v>
      </c>
      <c r="B24" s="19" t="s">
        <v>167</v>
      </c>
      <c r="C24" s="19" t="s">
        <v>168</v>
      </c>
      <c r="D24" s="19" t="s">
        <v>169</v>
      </c>
      <c r="E24" s="19" t="s">
        <v>170</v>
      </c>
      <c r="F24" s="5" t="s">
        <v>171</v>
      </c>
    </row>
    <row r="25" customFormat="false" ht="15" hidden="false" customHeight="false" outlineLevel="0" collapsed="false">
      <c r="A25" s="4" t="s">
        <v>29</v>
      </c>
      <c r="B25" s="29" t="n">
        <v>0.25</v>
      </c>
      <c r="F25" s="4" t="s">
        <v>175</v>
      </c>
    </row>
    <row r="26" customFormat="false" ht="15" hidden="false" customHeight="false" outlineLevel="0" collapsed="false">
      <c r="A26" s="3" t="s">
        <v>176</v>
      </c>
      <c r="B26" s="31" t="n">
        <v>40</v>
      </c>
      <c r="F26" s="4" t="s">
        <v>175</v>
      </c>
    </row>
    <row r="27" customFormat="false" ht="15" hidden="false" customHeight="false" outlineLevel="0" collapsed="false">
      <c r="A27" s="3" t="s">
        <v>177</v>
      </c>
      <c r="B27" s="29" t="n">
        <v>0.15</v>
      </c>
      <c r="C27" s="29" t="n">
        <v>0.14</v>
      </c>
      <c r="D27" s="29" t="n">
        <v>0.13</v>
      </c>
      <c r="E27" s="29" t="n">
        <v>0.12</v>
      </c>
      <c r="F27" s="3" t="s">
        <v>178</v>
      </c>
    </row>
    <row r="28" customFormat="false" ht="15" hidden="false" customHeight="false" outlineLevel="0" collapsed="false">
      <c r="A28" s="4" t="s">
        <v>179</v>
      </c>
      <c r="B28" s="29" t="n">
        <v>0.03</v>
      </c>
      <c r="C28" s="29" t="n">
        <v>-0.01</v>
      </c>
      <c r="D28" s="29" t="n">
        <v>0.01</v>
      </c>
      <c r="E28" s="29" t="n">
        <v>0.01</v>
      </c>
      <c r="F28" s="3" t="s">
        <v>180</v>
      </c>
    </row>
    <row r="29" customFormat="false" ht="15" hidden="false" customHeight="false" outlineLevel="0" collapsed="false">
      <c r="A29" s="3" t="s">
        <v>181</v>
      </c>
      <c r="B29" s="29" t="n">
        <v>0.12</v>
      </c>
      <c r="C29" s="29" t="n">
        <v>0.12</v>
      </c>
      <c r="D29" s="29" t="n">
        <v>0.115</v>
      </c>
      <c r="E29" s="29" t="n">
        <v>0.11</v>
      </c>
      <c r="F29" s="3" t="s">
        <v>182</v>
      </c>
    </row>
    <row r="30" customFormat="false" ht="15" hidden="false" customHeight="false" outlineLevel="0" collapsed="false">
      <c r="A30" s="4" t="s">
        <v>183</v>
      </c>
      <c r="B30" s="29" t="n">
        <v>0.06</v>
      </c>
      <c r="C30" s="29" t="n">
        <v>0.05</v>
      </c>
      <c r="D30" s="29" t="n">
        <v>0.05</v>
      </c>
      <c r="E30" s="29" t="n">
        <v>0.05</v>
      </c>
      <c r="F30" s="3" t="s">
        <v>184</v>
      </c>
    </row>
    <row r="31" customFormat="false" ht="15" hidden="false" customHeight="false" outlineLevel="0" collapsed="false">
      <c r="A31" s="4" t="s">
        <v>185</v>
      </c>
      <c r="B31" s="29" t="n">
        <v>0.17</v>
      </c>
      <c r="C31" s="29" t="n">
        <v>0.12</v>
      </c>
      <c r="D31" s="29" t="n">
        <v>0.12</v>
      </c>
      <c r="E31" s="29" t="n">
        <v>0.1</v>
      </c>
      <c r="F31" s="3" t="s">
        <v>186</v>
      </c>
    </row>
    <row r="32" customFormat="false" ht="15" hidden="false" customHeight="false" outlineLevel="0" collapsed="false">
      <c r="A32" s="3" t="s">
        <v>187</v>
      </c>
      <c r="B32" s="29" t="n">
        <v>0.675</v>
      </c>
      <c r="C32" s="29" t="n">
        <v>0.685</v>
      </c>
      <c r="D32" s="29" t="n">
        <v>0.69</v>
      </c>
      <c r="E32" s="29" t="n">
        <v>0.695</v>
      </c>
      <c r="F32" s="3" t="s">
        <v>188</v>
      </c>
    </row>
    <row r="33" customFormat="false" ht="15" hidden="false" customHeight="false" outlineLevel="0" collapsed="false">
      <c r="A33" s="4" t="s">
        <v>189</v>
      </c>
      <c r="B33" s="29" t="n">
        <v>0.12</v>
      </c>
      <c r="C33" s="29" t="n">
        <v>0.11</v>
      </c>
      <c r="D33" s="29" t="n">
        <v>0.1</v>
      </c>
      <c r="E33" s="29" t="n">
        <v>0.1</v>
      </c>
      <c r="F33" s="3" t="s">
        <v>190</v>
      </c>
    </row>
    <row r="34" customFormat="false" ht="15" hidden="false" customHeight="false" outlineLevel="0" collapsed="false">
      <c r="A34" s="4" t="s">
        <v>191</v>
      </c>
      <c r="B34" s="29" t="n">
        <v>-0.014</v>
      </c>
      <c r="C34" s="29" t="n">
        <v>-0.01</v>
      </c>
      <c r="D34" s="29" t="n">
        <v>-0.01</v>
      </c>
      <c r="E34" s="29" t="n">
        <v>-0.01</v>
      </c>
      <c r="F34" s="4" t="s">
        <v>192</v>
      </c>
    </row>
    <row r="36" customFormat="false" ht="15" hidden="false" customHeight="false" outlineLevel="0" collapsed="false">
      <c r="A36" s="16" t="s">
        <v>193</v>
      </c>
      <c r="B36" s="17"/>
      <c r="C36" s="17"/>
      <c r="D36" s="17"/>
      <c r="E36" s="17"/>
      <c r="F36" s="17"/>
    </row>
    <row r="37" customFormat="false" ht="15" hidden="false" customHeight="false" outlineLevel="0" collapsed="false">
      <c r="A37" s="5" t="s">
        <v>174</v>
      </c>
      <c r="B37" s="19" t="s">
        <v>167</v>
      </c>
      <c r="C37" s="19" t="s">
        <v>168</v>
      </c>
      <c r="D37" s="19" t="s">
        <v>169</v>
      </c>
      <c r="E37" s="19" t="s">
        <v>170</v>
      </c>
      <c r="F37" s="5" t="s">
        <v>171</v>
      </c>
    </row>
    <row r="38" customFormat="false" ht="15" hidden="false" customHeight="false" outlineLevel="0" collapsed="false">
      <c r="A38" s="4" t="s">
        <v>29</v>
      </c>
      <c r="B38" s="29" t="n">
        <v>0.5</v>
      </c>
      <c r="F38" s="4" t="s">
        <v>175</v>
      </c>
    </row>
    <row r="39" customFormat="false" ht="15" hidden="false" customHeight="false" outlineLevel="0" collapsed="false">
      <c r="A39" s="3" t="s">
        <v>176</v>
      </c>
      <c r="B39" s="31" t="n">
        <v>30</v>
      </c>
      <c r="F39" s="4" t="s">
        <v>175</v>
      </c>
    </row>
    <row r="40" customFormat="false" ht="15" hidden="false" customHeight="false" outlineLevel="0" collapsed="false">
      <c r="A40" s="3" t="s">
        <v>177</v>
      </c>
      <c r="B40" s="29" t="n">
        <v>0.145</v>
      </c>
      <c r="C40" s="29" t="n">
        <v>0.125</v>
      </c>
      <c r="D40" s="29" t="n">
        <v>0.12</v>
      </c>
      <c r="E40" s="29" t="n">
        <v>0.11</v>
      </c>
      <c r="F40" s="3" t="s">
        <v>178</v>
      </c>
    </row>
    <row r="41" customFormat="false" ht="15" hidden="false" customHeight="false" outlineLevel="0" collapsed="false">
      <c r="A41" s="4" t="s">
        <v>179</v>
      </c>
      <c r="B41" s="29" t="n">
        <v>0.025</v>
      </c>
      <c r="C41" s="29" t="n">
        <v>-0.03</v>
      </c>
      <c r="D41" s="29" t="n">
        <v>-0.01</v>
      </c>
      <c r="E41" s="29" t="n">
        <v>0</v>
      </c>
      <c r="F41" s="3" t="s">
        <v>180</v>
      </c>
    </row>
    <row r="42" customFormat="false" ht="15" hidden="false" customHeight="false" outlineLevel="0" collapsed="false">
      <c r="A42" s="3" t="s">
        <v>181</v>
      </c>
      <c r="B42" s="29" t="n">
        <v>0.115</v>
      </c>
      <c r="C42" s="29" t="n">
        <v>0.11</v>
      </c>
      <c r="D42" s="29" t="n">
        <v>0.105</v>
      </c>
      <c r="E42" s="29" t="n">
        <v>0.1</v>
      </c>
      <c r="F42" s="3" t="s">
        <v>182</v>
      </c>
    </row>
    <row r="43" customFormat="false" ht="15" hidden="false" customHeight="false" outlineLevel="0" collapsed="false">
      <c r="A43" s="4" t="s">
        <v>183</v>
      </c>
      <c r="B43" s="29" t="n">
        <v>0.06</v>
      </c>
      <c r="C43" s="29" t="n">
        <v>0.03</v>
      </c>
      <c r="D43" s="29" t="n">
        <v>0.03</v>
      </c>
      <c r="E43" s="29" t="n">
        <v>0.03</v>
      </c>
      <c r="F43" s="3" t="s">
        <v>184</v>
      </c>
    </row>
    <row r="44" customFormat="false" ht="15" hidden="false" customHeight="false" outlineLevel="0" collapsed="false">
      <c r="A44" s="4" t="s">
        <v>185</v>
      </c>
      <c r="B44" s="29" t="n">
        <v>0.15</v>
      </c>
      <c r="C44" s="29" t="n">
        <v>0.06</v>
      </c>
      <c r="D44" s="29" t="n">
        <v>0.06</v>
      </c>
      <c r="E44" s="29" t="n">
        <v>0.06</v>
      </c>
      <c r="F44" s="3" t="s">
        <v>186</v>
      </c>
    </row>
    <row r="45" customFormat="false" ht="15" hidden="false" customHeight="false" outlineLevel="0" collapsed="false">
      <c r="A45" s="3" t="s">
        <v>187</v>
      </c>
      <c r="B45" s="29" t="n">
        <v>0.673</v>
      </c>
      <c r="C45" s="29" t="n">
        <v>0.67</v>
      </c>
      <c r="D45" s="29" t="n">
        <v>0.675</v>
      </c>
      <c r="E45" s="29" t="n">
        <v>0.68</v>
      </c>
      <c r="F45" s="3" t="s">
        <v>188</v>
      </c>
    </row>
    <row r="46" customFormat="false" ht="15" hidden="false" customHeight="false" outlineLevel="0" collapsed="false">
      <c r="A46" s="4" t="s">
        <v>189</v>
      </c>
      <c r="B46" s="29" t="n">
        <v>0.12</v>
      </c>
      <c r="C46" s="29" t="n">
        <v>0.09</v>
      </c>
      <c r="D46" s="29" t="n">
        <v>0.09</v>
      </c>
      <c r="E46" s="29" t="n">
        <v>0.09</v>
      </c>
      <c r="F46" s="3" t="s">
        <v>190</v>
      </c>
    </row>
    <row r="47" customFormat="false" ht="15" hidden="false" customHeight="false" outlineLevel="0" collapsed="false">
      <c r="A47" s="4" t="s">
        <v>191</v>
      </c>
      <c r="B47" s="29" t="n">
        <v>-0.014</v>
      </c>
      <c r="C47" s="29" t="n">
        <v>-0.008</v>
      </c>
      <c r="D47" s="29" t="n">
        <v>-0.008</v>
      </c>
      <c r="E47" s="29" t="n">
        <v>-0.008</v>
      </c>
      <c r="F47" s="4" t="s">
        <v>192</v>
      </c>
    </row>
    <row r="49" customFormat="false" ht="15" hidden="false" customHeight="false" outlineLevel="0" collapsed="false">
      <c r="A49" s="16" t="s">
        <v>194</v>
      </c>
      <c r="B49" s="17"/>
      <c r="C49" s="17"/>
      <c r="D49" s="17"/>
      <c r="E49" s="17"/>
      <c r="F49" s="17"/>
    </row>
    <row r="50" customFormat="false" ht="15" hidden="false" customHeight="false" outlineLevel="0" collapsed="false">
      <c r="A50" s="5" t="s">
        <v>174</v>
      </c>
      <c r="B50" s="19" t="s">
        <v>167</v>
      </c>
      <c r="C50" s="19" t="s">
        <v>168</v>
      </c>
      <c r="D50" s="19" t="s">
        <v>169</v>
      </c>
      <c r="E50" s="19" t="s">
        <v>170</v>
      </c>
      <c r="F50" s="5" t="s">
        <v>171</v>
      </c>
    </row>
    <row r="51" customFormat="false" ht="15" hidden="false" customHeight="false" outlineLevel="0" collapsed="false">
      <c r="A51" s="4" t="s">
        <v>29</v>
      </c>
      <c r="B51" s="29" t="n">
        <v>0.25</v>
      </c>
      <c r="F51" s="4" t="s">
        <v>175</v>
      </c>
    </row>
    <row r="52" customFormat="false" ht="15" hidden="false" customHeight="false" outlineLevel="0" collapsed="false">
      <c r="A52" s="3" t="s">
        <v>176</v>
      </c>
      <c r="B52" s="31" t="n">
        <v>22</v>
      </c>
      <c r="F52" s="4" t="s">
        <v>175</v>
      </c>
    </row>
    <row r="53" customFormat="false" ht="15" hidden="false" customHeight="false" outlineLevel="0" collapsed="false">
      <c r="A53" s="3" t="s">
        <v>177</v>
      </c>
      <c r="B53" s="29" t="n">
        <v>0.14</v>
      </c>
      <c r="C53" s="29" t="n">
        <v>0.1</v>
      </c>
      <c r="D53" s="29" t="n">
        <v>0.09</v>
      </c>
      <c r="E53" s="29" t="n">
        <v>0.08</v>
      </c>
      <c r="F53" s="3" t="s">
        <v>178</v>
      </c>
    </row>
    <row r="54" customFormat="false" ht="15" hidden="false" customHeight="false" outlineLevel="0" collapsed="false">
      <c r="A54" s="4" t="s">
        <v>179</v>
      </c>
      <c r="B54" s="29" t="n">
        <v>0.02</v>
      </c>
      <c r="C54" s="29" t="n">
        <v>-0.06</v>
      </c>
      <c r="D54" s="29" t="n">
        <v>-0.02</v>
      </c>
      <c r="E54" s="29" t="n">
        <v>-0.01</v>
      </c>
      <c r="F54" s="3" t="s">
        <v>180</v>
      </c>
    </row>
    <row r="55" customFormat="false" ht="15" hidden="false" customHeight="false" outlineLevel="0" collapsed="false">
      <c r="A55" s="3" t="s">
        <v>181</v>
      </c>
      <c r="B55" s="29" t="n">
        <v>0.115</v>
      </c>
      <c r="C55" s="29" t="n">
        <v>0.1</v>
      </c>
      <c r="D55" s="29" t="n">
        <v>0.09</v>
      </c>
      <c r="E55" s="29" t="n">
        <v>0.08</v>
      </c>
      <c r="F55" s="3" t="s">
        <v>182</v>
      </c>
    </row>
    <row r="56" customFormat="false" ht="15" hidden="false" customHeight="false" outlineLevel="0" collapsed="false">
      <c r="A56" s="4" t="s">
        <v>183</v>
      </c>
      <c r="B56" s="29" t="n">
        <v>0.05</v>
      </c>
      <c r="C56" s="29" t="n">
        <v>0</v>
      </c>
      <c r="D56" s="29" t="n">
        <v>0</v>
      </c>
      <c r="E56" s="29" t="n">
        <v>0</v>
      </c>
      <c r="F56" s="3" t="s">
        <v>184</v>
      </c>
    </row>
    <row r="57" customFormat="false" ht="15" hidden="false" customHeight="false" outlineLevel="0" collapsed="false">
      <c r="A57" s="4" t="s">
        <v>185</v>
      </c>
      <c r="B57" s="29" t="n">
        <v>0.12</v>
      </c>
      <c r="C57" s="29" t="n">
        <v>-0.05</v>
      </c>
      <c r="D57" s="29" t="n">
        <v>0</v>
      </c>
      <c r="E57" s="29" t="n">
        <v>0.02</v>
      </c>
      <c r="F57" s="3" t="s">
        <v>186</v>
      </c>
    </row>
    <row r="58" customFormat="false" ht="15" hidden="false" customHeight="false" outlineLevel="0" collapsed="false">
      <c r="A58" s="3" t="s">
        <v>187</v>
      </c>
      <c r="B58" s="29" t="n">
        <v>0.67</v>
      </c>
      <c r="C58" s="29" t="n">
        <v>0.655</v>
      </c>
      <c r="D58" s="29" t="n">
        <v>0.655</v>
      </c>
      <c r="E58" s="29" t="n">
        <v>0.66</v>
      </c>
      <c r="F58" s="3" t="s">
        <v>188</v>
      </c>
    </row>
    <row r="59" customFormat="false" ht="15" hidden="false" customHeight="false" outlineLevel="0" collapsed="false">
      <c r="A59" s="4" t="s">
        <v>189</v>
      </c>
      <c r="B59" s="29" t="n">
        <v>0.12</v>
      </c>
      <c r="C59" s="29" t="n">
        <v>0.08</v>
      </c>
      <c r="D59" s="29" t="n">
        <v>0.07</v>
      </c>
      <c r="E59" s="29" t="n">
        <v>0.07</v>
      </c>
      <c r="F59" s="3" t="s">
        <v>190</v>
      </c>
    </row>
    <row r="60" customFormat="false" ht="15" hidden="false" customHeight="false" outlineLevel="0" collapsed="false">
      <c r="A60" s="4" t="s">
        <v>191</v>
      </c>
      <c r="B60" s="29" t="n">
        <v>-0.014</v>
      </c>
      <c r="C60" s="29" t="n">
        <v>-0.005</v>
      </c>
      <c r="D60" s="29" t="n">
        <v>-0.005</v>
      </c>
      <c r="E60" s="29" t="n">
        <v>-0.005</v>
      </c>
      <c r="F60" s="4" t="s">
        <v>192</v>
      </c>
    </row>
    <row r="62" customFormat="false" ht="15" hidden="false" customHeight="false" outlineLevel="0" collapsed="false">
      <c r="A62" s="2" t="s">
        <v>195</v>
      </c>
      <c r="B62" s="10" t="n">
        <f aca="false">B25+B38+B51</f>
        <v>1</v>
      </c>
      <c r="C62" s="3" t="str">
        <f aca="false">IF(ROUND(B62,4)=1,"OK","概率合计不等于 100%")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28" t="s">
        <v>196</v>
      </c>
    </row>
    <row r="3" customFormat="false" ht="15" hidden="false" customHeight="false" outlineLevel="0" collapsed="false">
      <c r="A3" s="16" t="s">
        <v>197</v>
      </c>
      <c r="B3" s="17"/>
      <c r="C3" s="17"/>
      <c r="D3" s="17"/>
      <c r="E3" s="17"/>
      <c r="F3" s="17"/>
      <c r="G3" s="17"/>
    </row>
    <row r="4" customFormat="false" ht="15" hidden="false" customHeight="false" outlineLevel="0" collapsed="false">
      <c r="A4" s="5" t="s">
        <v>66</v>
      </c>
      <c r="B4" s="19" t="s">
        <v>198</v>
      </c>
      <c r="C4" s="19" t="s">
        <v>167</v>
      </c>
      <c r="D4" s="19" t="s">
        <v>168</v>
      </c>
      <c r="E4" s="19" t="s">
        <v>169</v>
      </c>
      <c r="F4" s="19" t="s">
        <v>170</v>
      </c>
      <c r="G4" s="5" t="s">
        <v>199</v>
      </c>
    </row>
    <row r="5" customFormat="false" ht="15" hidden="false" customHeight="false" outlineLevel="0" collapsed="false">
      <c r="A5" s="3" t="s">
        <v>200</v>
      </c>
      <c r="B5" s="8" t="n">
        <f aca="false">历史数据!$G$26</f>
        <v>3153</v>
      </c>
      <c r="C5" s="27" t="n">
        <f aca="false">B5*(1+假设!B$27)</f>
        <v>3625.95</v>
      </c>
      <c r="D5" s="27" t="n">
        <f aca="false">C5*(1+假设!C$27)</f>
        <v>4133.583</v>
      </c>
      <c r="E5" s="27" t="n">
        <f aca="false">D5*(1+假设!D$27)</f>
        <v>4670.94879</v>
      </c>
      <c r="F5" s="27" t="n">
        <f aca="false">E5*(1+假设!E$27)</f>
        <v>5231.4626448</v>
      </c>
    </row>
    <row r="6" customFormat="false" ht="15" hidden="false" customHeight="false" outlineLevel="0" collapsed="false">
      <c r="A6" s="4" t="s">
        <v>201</v>
      </c>
      <c r="B6" s="6" t="n">
        <f aca="false">历史数据!G38</f>
        <v>0.175177040626165</v>
      </c>
      <c r="C6" s="7" t="n">
        <f aca="false">C5/B5-1</f>
        <v>0.15</v>
      </c>
      <c r="D6" s="7" t="n">
        <f aca="false">D5/C5-1</f>
        <v>0.14</v>
      </c>
      <c r="E6" s="7" t="n">
        <f aca="false">E5/D5-1</f>
        <v>0.13</v>
      </c>
      <c r="F6" s="7" t="n">
        <f aca="false">F5/E5-1</f>
        <v>0.12</v>
      </c>
    </row>
    <row r="7" customFormat="false" ht="15" hidden="false" customHeight="false" outlineLevel="0" collapsed="false">
      <c r="A7" s="4" t="s">
        <v>202</v>
      </c>
      <c r="B7" s="32" t="n">
        <f aca="false">历史数据!$G$5/历史数据!$G$26*1000</f>
        <v>1908.94386298763</v>
      </c>
      <c r="C7" s="26" t="n">
        <f aca="false">B7*(1+假设!B$28)</f>
        <v>1966.21217887726</v>
      </c>
      <c r="D7" s="26" t="n">
        <f aca="false">C7*(1+假设!C$28)</f>
        <v>1946.55005708849</v>
      </c>
      <c r="E7" s="26" t="n">
        <f aca="false">D7*(1+假设!D$28)</f>
        <v>1966.01555765937</v>
      </c>
      <c r="F7" s="26" t="n">
        <f aca="false">E7*(1+假设!E$28)</f>
        <v>1985.67571323597</v>
      </c>
      <c r="G7" s="4" t="s">
        <v>203</v>
      </c>
    </row>
    <row r="8" customFormat="false" ht="15" hidden="false" customHeight="false" outlineLevel="0" collapsed="false">
      <c r="A8" s="3" t="s">
        <v>204</v>
      </c>
      <c r="B8" s="33" t="n">
        <f aca="false">历史数据!$G$5</f>
        <v>6018.9</v>
      </c>
      <c r="C8" s="22" t="n">
        <f aca="false">C5*C7/1000</f>
        <v>7129.38705</v>
      </c>
      <c r="D8" s="22" t="n">
        <f aca="false">D5*D7/1000</f>
        <v>8046.22622463</v>
      </c>
      <c r="E8" s="22" t="n">
        <f aca="false">E5*E7/1000</f>
        <v>9183.15799017022</v>
      </c>
      <c r="F8" s="22" t="n">
        <f aca="false">F5*F7/1000</f>
        <v>10387.9883184806</v>
      </c>
    </row>
    <row r="9" customFormat="false" ht="15" hidden="false" customHeight="false" outlineLevel="0" collapsed="false">
      <c r="A9" s="3" t="s">
        <v>205</v>
      </c>
      <c r="B9" s="8" t="n">
        <f aca="false">历史数据!$G$27</f>
        <v>11106</v>
      </c>
      <c r="C9" s="27" t="n">
        <f aca="false">B9*(1+假设!B$29)</f>
        <v>12438.72</v>
      </c>
      <c r="D9" s="27" t="n">
        <f aca="false">C9*(1+假设!C$29)</f>
        <v>13931.3664</v>
      </c>
      <c r="E9" s="27" t="n">
        <f aca="false">D9*(1+假设!D$29)</f>
        <v>15533.473536</v>
      </c>
      <c r="F9" s="27" t="n">
        <f aca="false">E9*(1+假设!E$29)</f>
        <v>17242.15562496</v>
      </c>
    </row>
    <row r="10" customFormat="false" ht="15" hidden="false" customHeight="false" outlineLevel="0" collapsed="false">
      <c r="A10" s="4" t="s">
        <v>206</v>
      </c>
      <c r="B10" s="8" t="n">
        <f aca="false">(历史数据!$F$27+历史数据!$G$27)/2</f>
        <v>10504</v>
      </c>
      <c r="C10" s="27" t="n">
        <f aca="false">(B9+C9)/2</f>
        <v>11772.36</v>
      </c>
      <c r="D10" s="27" t="n">
        <f aca="false">(C9+D9)/2</f>
        <v>13185.0432</v>
      </c>
      <c r="E10" s="27" t="n">
        <f aca="false">(D9+E9)/2</f>
        <v>14732.419968</v>
      </c>
      <c r="F10" s="27" t="n">
        <f aca="false">(E9+F9)/2</f>
        <v>16387.81458048</v>
      </c>
    </row>
    <row r="11" customFormat="false" ht="15" hidden="false" customHeight="false" outlineLevel="0" collapsed="false">
      <c r="A11" s="4" t="s">
        <v>207</v>
      </c>
      <c r="B11" s="22" t="n">
        <f aca="false">历史数据!$G$7/B10*1000</f>
        <v>149.666793602437</v>
      </c>
      <c r="C11" s="22" t="n">
        <f aca="false">B11*(1+假设!B$30)</f>
        <v>158.646801218583</v>
      </c>
      <c r="D11" s="22" t="n">
        <f aca="false">C11*(1+假设!C$30)</f>
        <v>166.579141279513</v>
      </c>
      <c r="E11" s="22" t="n">
        <f aca="false">D11*(1+假设!D$30)</f>
        <v>174.908098343488</v>
      </c>
      <c r="F11" s="22" t="n">
        <f aca="false">E11*(1+假设!E$30)</f>
        <v>183.653503260663</v>
      </c>
      <c r="G11" s="4" t="s">
        <v>208</v>
      </c>
    </row>
    <row r="12" customFormat="false" ht="15" hidden="false" customHeight="false" outlineLevel="0" collapsed="false">
      <c r="A12" s="4" t="s">
        <v>81</v>
      </c>
      <c r="B12" s="33" t="n">
        <f aca="false">历史数据!$G$7</f>
        <v>1572.1</v>
      </c>
      <c r="C12" s="22" t="n">
        <f aca="false">C10*C11/1000</f>
        <v>1867.6472567936</v>
      </c>
      <c r="D12" s="22" t="n">
        <f aca="false">D10*D11/1000</f>
        <v>2196.35317398928</v>
      </c>
      <c r="E12" s="22" t="n">
        <f aca="false">E10*E11/1000</f>
        <v>2576.81956060051</v>
      </c>
      <c r="F12" s="22" t="n">
        <f aca="false">F10*F11/1000</f>
        <v>3009.67955849132</v>
      </c>
    </row>
    <row r="13" customFormat="false" ht="15" hidden="false" customHeight="false" outlineLevel="0" collapsed="false">
      <c r="A13" s="4" t="s">
        <v>79</v>
      </c>
      <c r="B13" s="33" t="n">
        <f aca="false">历史数据!$G$6</f>
        <v>2473.7</v>
      </c>
      <c r="C13" s="22" t="n">
        <f aca="false">B13*(1+假设!B$31)</f>
        <v>2894.229</v>
      </c>
      <c r="D13" s="22" t="n">
        <f aca="false">C13*(1+假设!C$31)</f>
        <v>3241.53648</v>
      </c>
      <c r="E13" s="22" t="n">
        <f aca="false">D13*(1+假设!D$31)</f>
        <v>3630.5208576</v>
      </c>
      <c r="F13" s="22" t="n">
        <f aca="false">E13*(1+假设!E$31)</f>
        <v>3993.57294336</v>
      </c>
    </row>
    <row r="14" customFormat="false" ht="15" hidden="false" customHeight="false" outlineLevel="0" collapsed="false">
      <c r="A14" s="15" t="s">
        <v>82</v>
      </c>
      <c r="B14" s="34" t="n">
        <f aca="false">历史数据!$G$8</f>
        <v>10064.7</v>
      </c>
      <c r="C14" s="21" t="n">
        <f aca="false">C8+C12+C13</f>
        <v>11891.2633067936</v>
      </c>
      <c r="D14" s="21" t="n">
        <f aca="false">D8+D12+D13</f>
        <v>13484.1158786193</v>
      </c>
      <c r="E14" s="21" t="n">
        <f aca="false">E8+E12+E13</f>
        <v>15390.4984083707</v>
      </c>
      <c r="F14" s="21" t="n">
        <f aca="false">F8+F12+F13</f>
        <v>17391.2408203319</v>
      </c>
    </row>
    <row r="15" customFormat="false" ht="15" hidden="false" customHeight="false" outlineLevel="0" collapsed="false">
      <c r="A15" s="4" t="s">
        <v>209</v>
      </c>
      <c r="B15" s="6" t="n">
        <f aca="false">历史数据!G32</f>
        <v>0.205050226889046</v>
      </c>
      <c r="C15" s="7" t="n">
        <f aca="false">C14/B14-1</f>
        <v>0.18148214122563</v>
      </c>
      <c r="D15" s="7" t="n">
        <f aca="false">D14/C14-1</f>
        <v>0.133951501260229</v>
      </c>
      <c r="E15" s="7" t="n">
        <f aca="false">E14/D14-1</f>
        <v>0.141379868499518</v>
      </c>
      <c r="F15" s="7" t="n">
        <f aca="false">F14/E14-1</f>
        <v>0.129998545782829</v>
      </c>
    </row>
    <row r="16" customFormat="false" ht="15" hidden="false" customHeight="false" outlineLevel="0" collapsed="false">
      <c r="A16" s="3" t="s">
        <v>187</v>
      </c>
      <c r="B16" s="6" t="n">
        <f aca="false">历史数据!$G$9/历史数据!$G$8</f>
        <v>0.65996005842201</v>
      </c>
      <c r="C16" s="7" t="n">
        <f aca="false">假设!B$32</f>
        <v>0.675</v>
      </c>
      <c r="D16" s="7" t="n">
        <f aca="false">假设!C$32</f>
        <v>0.685</v>
      </c>
      <c r="E16" s="7" t="n">
        <f aca="false">假设!D$32</f>
        <v>0.69</v>
      </c>
      <c r="F16" s="7" t="n">
        <f aca="false">假设!E$32</f>
        <v>0.695</v>
      </c>
    </row>
    <row r="17" customFormat="false" ht="15" hidden="false" customHeight="false" outlineLevel="0" collapsed="false">
      <c r="A17" s="4" t="s">
        <v>84</v>
      </c>
      <c r="B17" s="33" t="n">
        <f aca="false">历史数据!$G$9</f>
        <v>6642.3</v>
      </c>
      <c r="C17" s="22" t="n">
        <f aca="false">C14*C16</f>
        <v>8026.60273208568</v>
      </c>
      <c r="D17" s="22" t="n">
        <f aca="false">D14*D16</f>
        <v>9236.61937685421</v>
      </c>
      <c r="E17" s="22" t="n">
        <f aca="false">E14*E16</f>
        <v>10619.4439017758</v>
      </c>
      <c r="F17" s="22" t="n">
        <f aca="false">F14*F16</f>
        <v>12086.9123701306</v>
      </c>
    </row>
    <row r="18" customFormat="false" ht="15" hidden="false" customHeight="false" outlineLevel="0" collapsed="false">
      <c r="A18" s="4" t="s">
        <v>210</v>
      </c>
      <c r="B18" s="33" t="n">
        <f aca="false">历史数据!$G$12</f>
        <v>3696.8</v>
      </c>
      <c r="C18" s="22" t="n">
        <f aca="false">B18*(1+假设!B$33)</f>
        <v>4140.416</v>
      </c>
      <c r="D18" s="22" t="n">
        <f aca="false">C18*(1+假设!C$33)</f>
        <v>4595.86176</v>
      </c>
      <c r="E18" s="22" t="n">
        <f aca="false">D18*(1+假设!D$33)</f>
        <v>5055.447936</v>
      </c>
      <c r="F18" s="22" t="n">
        <f aca="false">E18*(1+假设!E$33)</f>
        <v>5560.9927296</v>
      </c>
    </row>
    <row r="19" customFormat="false" ht="15" hidden="false" customHeight="false" outlineLevel="0" collapsed="false">
      <c r="A19" s="15" t="s">
        <v>211</v>
      </c>
      <c r="B19" s="34" t="n">
        <f aca="false">历史数据!$G$13</f>
        <v>2945.5</v>
      </c>
      <c r="C19" s="21" t="n">
        <f aca="false">C17-C18</f>
        <v>3886.18673208568</v>
      </c>
      <c r="D19" s="21" t="n">
        <f aca="false">D17-D18</f>
        <v>4640.75761685421</v>
      </c>
      <c r="E19" s="21" t="n">
        <f aca="false">E17-E18</f>
        <v>5563.99596577581</v>
      </c>
      <c r="F19" s="21" t="n">
        <f aca="false">F17-F18</f>
        <v>6525.91964053065</v>
      </c>
    </row>
    <row r="20" customFormat="false" ht="15" hidden="false" customHeight="false" outlineLevel="0" collapsed="false">
      <c r="A20" s="4" t="s">
        <v>212</v>
      </c>
      <c r="B20" s="7" t="n">
        <f aca="false">B19/B14</f>
        <v>0.292656512364999</v>
      </c>
      <c r="C20" s="7" t="n">
        <f aca="false">C19/C14</f>
        <v>0.326810249829845</v>
      </c>
      <c r="D20" s="7" t="n">
        <f aca="false">D19/D14</f>
        <v>0.344164768282116</v>
      </c>
      <c r="E20" s="7" t="n">
        <f aca="false">E19/E14</f>
        <v>0.361521493205808</v>
      </c>
      <c r="F20" s="7" t="n">
        <f aca="false">F19/F14</f>
        <v>0.375241750025178</v>
      </c>
    </row>
    <row r="21" customFormat="false" ht="15" hidden="false" customHeight="false" outlineLevel="0" collapsed="false">
      <c r="A21" s="4" t="s">
        <v>93</v>
      </c>
      <c r="B21" s="33" t="n">
        <f aca="false">历史数据!$G$14</f>
        <v>365.9</v>
      </c>
      <c r="C21" s="22" t="n">
        <f aca="false">假设!B$21</f>
        <v>325</v>
      </c>
      <c r="D21" s="22" t="n">
        <f aca="false">假设!C$21</f>
        <v>340</v>
      </c>
      <c r="E21" s="22" t="n">
        <f aca="false">假设!D$21</f>
        <v>355</v>
      </c>
      <c r="F21" s="22" t="n">
        <f aca="false">假设!E$21</f>
        <v>370</v>
      </c>
    </row>
    <row r="22" customFormat="false" ht="15" hidden="false" customHeight="false" outlineLevel="0" collapsed="false">
      <c r="A22" s="4" t="s">
        <v>95</v>
      </c>
      <c r="B22" s="33" t="n">
        <f aca="false">历史数据!$G$15</f>
        <v>3311.4</v>
      </c>
      <c r="C22" s="22" t="n">
        <f aca="false">C19+C21</f>
        <v>4211.18673208568</v>
      </c>
      <c r="D22" s="22" t="n">
        <f aca="false">D19+D21</f>
        <v>4980.75761685421</v>
      </c>
      <c r="E22" s="22" t="n">
        <f aca="false">E19+E21</f>
        <v>5918.99596577581</v>
      </c>
      <c r="F22" s="22" t="n">
        <f aca="false">F19+F21</f>
        <v>6895.91964053065</v>
      </c>
    </row>
    <row r="23" customFormat="false" ht="15" hidden="false" customHeight="false" outlineLevel="0" collapsed="false">
      <c r="A23" s="4" t="s">
        <v>213</v>
      </c>
      <c r="B23" s="33" t="n">
        <f aca="false">历史数据!$G$16</f>
        <v>434.8</v>
      </c>
      <c r="C23" s="22" t="n">
        <f aca="false">C22*假设!$B$9</f>
        <v>800.125479096279</v>
      </c>
      <c r="D23" s="22" t="n">
        <f aca="false">D22*假设!$B$9</f>
        <v>946.343947202299</v>
      </c>
      <c r="E23" s="22" t="n">
        <f aca="false">E22*假设!$B$9</f>
        <v>1124.6092334974</v>
      </c>
      <c r="F23" s="22" t="n">
        <f aca="false">F22*假设!$B$9</f>
        <v>1310.22473170082</v>
      </c>
    </row>
    <row r="24" customFormat="false" ht="15" hidden="false" customHeight="false" outlineLevel="0" collapsed="false">
      <c r="A24" s="4" t="s">
        <v>97</v>
      </c>
      <c r="B24" s="33" t="n">
        <f aca="false">历史数据!$G$17</f>
        <v>20.6</v>
      </c>
      <c r="C24" s="22" t="n">
        <f aca="false">假设!$B$11</f>
        <v>20</v>
      </c>
      <c r="D24" s="22" t="n">
        <f aca="false">假设!$B$11</f>
        <v>20</v>
      </c>
      <c r="E24" s="22" t="n">
        <f aca="false">假设!$B$11</f>
        <v>20</v>
      </c>
      <c r="F24" s="22" t="n">
        <f aca="false">假设!$B$11</f>
        <v>20</v>
      </c>
    </row>
    <row r="25" customFormat="false" ht="15" hidden="false" customHeight="false" outlineLevel="0" collapsed="false">
      <c r="A25" s="14" t="s">
        <v>214</v>
      </c>
      <c r="B25" s="34" t="n">
        <f aca="false">历史数据!$G$18</f>
        <v>2856</v>
      </c>
      <c r="C25" s="21" t="n">
        <f aca="false">C22-C23-C24</f>
        <v>3391.0612529894</v>
      </c>
      <c r="D25" s="21" t="n">
        <f aca="false">D22-D23-D24</f>
        <v>4014.41366965191</v>
      </c>
      <c r="E25" s="21" t="n">
        <f aca="false">E22-E23-E24</f>
        <v>4774.3867322784</v>
      </c>
      <c r="F25" s="21" t="n">
        <f aca="false">F22-F23-F24</f>
        <v>5565.69490882982</v>
      </c>
    </row>
    <row r="26" customFormat="false" ht="15" hidden="false" customHeight="false" outlineLevel="0" collapsed="false">
      <c r="A26" s="4" t="s">
        <v>215</v>
      </c>
      <c r="B26" s="33" t="n">
        <f aca="false">历史数据!$G$19</f>
        <v>362.7</v>
      </c>
      <c r="C26" s="22" t="n">
        <f aca="false">B26*(1+假设!B$34)</f>
        <v>357.6222</v>
      </c>
      <c r="D26" s="22" t="n">
        <f aca="false">C26*(1+假设!C$34)</f>
        <v>354.045978</v>
      </c>
      <c r="E26" s="22" t="n">
        <f aca="false">D26*(1+假设!D$34)</f>
        <v>350.50551822</v>
      </c>
      <c r="F26" s="22" t="n">
        <f aca="false">E26*(1+假设!E$34)</f>
        <v>347.0004630378</v>
      </c>
    </row>
    <row r="27" customFormat="false" ht="15" hidden="false" customHeight="false" outlineLevel="0" collapsed="false">
      <c r="A27" s="14" t="s">
        <v>216</v>
      </c>
      <c r="B27" s="35" t="n">
        <f aca="false">历史数据!$G$20</f>
        <v>7.87</v>
      </c>
      <c r="C27" s="12" t="n">
        <f aca="false">C25/C26</f>
        <v>9.48224481866451</v>
      </c>
      <c r="D27" s="12" t="n">
        <f aca="false">D25/D26</f>
        <v>11.3386789261928</v>
      </c>
      <c r="E27" s="12" t="n">
        <f aca="false">E25/E26</f>
        <v>13.6214310020697</v>
      </c>
      <c r="F27" s="12" t="n">
        <f aca="false">F25/F26</f>
        <v>16.0394451929695</v>
      </c>
    </row>
    <row r="28" customFormat="false" ht="15" hidden="false" customHeight="false" outlineLevel="0" collapsed="false">
      <c r="A28" s="4" t="s">
        <v>217</v>
      </c>
      <c r="B28" s="33" t="n">
        <f aca="false">历史数据!$G$22</f>
        <v>788.2</v>
      </c>
      <c r="C28" s="22" t="n">
        <f aca="false">假设!$B$13</f>
        <v>890</v>
      </c>
      <c r="D28" s="22" t="n">
        <f aca="false">C28*(1+假设!$B$14)</f>
        <v>961.2</v>
      </c>
      <c r="E28" s="22" t="n">
        <f aca="false">D28*(1+假设!$B$14)</f>
        <v>1038.096</v>
      </c>
      <c r="F28" s="22" t="n">
        <f aca="false">E28*(1+假设!$B$14)</f>
        <v>1121.14368</v>
      </c>
    </row>
    <row r="29" customFormat="false" ht="15" hidden="false" customHeight="false" outlineLevel="0" collapsed="false">
      <c r="A29" s="4" t="s">
        <v>218</v>
      </c>
      <c r="B29" s="36"/>
      <c r="C29" s="22" t="n">
        <f aca="false">假设!$B$12</f>
        <v>80</v>
      </c>
      <c r="D29" s="22" t="n">
        <f aca="false">假设!$B$12</f>
        <v>80</v>
      </c>
      <c r="E29" s="22" t="n">
        <f aca="false">假设!$B$12</f>
        <v>80</v>
      </c>
      <c r="F29" s="22" t="n">
        <f aca="false">假设!$B$12</f>
        <v>80</v>
      </c>
    </row>
    <row r="30" customFormat="false" ht="15" hidden="false" customHeight="false" outlineLevel="0" collapsed="false">
      <c r="A30" s="4" t="s">
        <v>219</v>
      </c>
      <c r="B30" s="36"/>
      <c r="C30" s="22" t="n">
        <f aca="false">(C22+C28+C29)*(1-假设!$B$10)-C24</f>
        <v>3995.4197173664</v>
      </c>
      <c r="D30" s="22" t="n">
        <f aca="false">(D22+D28+D29)*(1-假设!$B$10)-D24</f>
        <v>4647.01715306201</v>
      </c>
      <c r="E30" s="22" t="n">
        <f aca="false">(E22+E28+E29)*(1-假设!$B$10)-E24</f>
        <v>5433.74627347625</v>
      </c>
      <c r="F30" s="22" t="n">
        <f aca="false">(F22+F28+F29)*(1-假设!$B$10)-F24</f>
        <v>6255.22407341125</v>
      </c>
      <c r="G30" s="4" t="s">
        <v>220</v>
      </c>
    </row>
    <row r="31" customFormat="false" ht="15" hidden="false" customHeight="false" outlineLevel="0" collapsed="false">
      <c r="A31" s="15" t="s">
        <v>221</v>
      </c>
      <c r="B31" s="35" t="n">
        <f aca="false">历史数据!$G$21</f>
        <v>8.93</v>
      </c>
      <c r="C31" s="12" t="n">
        <f aca="false">C30/C26</f>
        <v>11.1721803550406</v>
      </c>
      <c r="D31" s="12" t="n">
        <f aca="false">D30/D26</f>
        <v>13.1254623461985</v>
      </c>
      <c r="E31" s="12" t="n">
        <f aca="false">E30/E26</f>
        <v>15.5025983644163</v>
      </c>
      <c r="F31" s="12" t="n">
        <f aca="false">F30/F26</f>
        <v>18.0265582894333</v>
      </c>
    </row>
    <row r="32" customFormat="false" ht="15" hidden="false" customHeight="false" outlineLevel="0" collapsed="false">
      <c r="A32" s="4" t="s">
        <v>222</v>
      </c>
      <c r="B32" s="37"/>
      <c r="C32" s="7" t="n">
        <f aca="false">IF(B31=0,"",C31/B31-1)</f>
        <v>0.251084026320337</v>
      </c>
      <c r="D32" s="7" t="n">
        <f aca="false">IF(C31=0,"",D31/C31-1)</f>
        <v>0.174834448521643</v>
      </c>
      <c r="E32" s="7" t="n">
        <f aca="false">IF(D31=0,"",E31/D31-1)</f>
        <v>0.1811087453926</v>
      </c>
      <c r="F32" s="7" t="n">
        <f aca="false">IF(E31=0,"",F31/E31-1)</f>
        <v>0.162808831505974</v>
      </c>
    </row>
    <row r="33" customFormat="false" ht="15" hidden="false" customHeight="false" outlineLevel="0" collapsed="false">
      <c r="A33" s="14" t="s">
        <v>223</v>
      </c>
    </row>
    <row r="34" customFormat="false" ht="15" hidden="false" customHeight="false" outlineLevel="0" collapsed="false">
      <c r="A34" s="4" t="s">
        <v>36</v>
      </c>
      <c r="B34" s="13" t="n">
        <f aca="false">假设!$B$26</f>
        <v>40</v>
      </c>
    </row>
    <row r="35" customFormat="false" ht="15" hidden="false" customHeight="false" outlineLevel="0" collapsed="false">
      <c r="A35" s="3" t="s">
        <v>224</v>
      </c>
      <c r="B35" s="12" t="n">
        <f aca="false">F31*B34</f>
        <v>721.062331577333</v>
      </c>
    </row>
    <row r="36" customFormat="false" ht="15" hidden="false" customHeight="false" outlineLevel="0" collapsed="false">
      <c r="A36" s="4" t="s">
        <v>225</v>
      </c>
      <c r="B36" s="38" t="n">
        <f aca="false">B35/F27</f>
        <v>44.9555656634179</v>
      </c>
    </row>
    <row r="37" customFormat="false" ht="15" hidden="false" customHeight="false" outlineLevel="0" collapsed="false">
      <c r="A37" s="4" t="s">
        <v>38</v>
      </c>
      <c r="B37" s="7" t="n">
        <f aca="false">B35/假设!$B$4-1</f>
        <v>0.715834598270827</v>
      </c>
    </row>
    <row r="38" customFormat="false" ht="15" hidden="false" customHeight="false" outlineLevel="0" collapsed="false">
      <c r="A38" s="4" t="s">
        <v>39</v>
      </c>
      <c r="B38" s="7" t="n">
        <f aca="false">(B35/假设!$B$4)^(1/假设!$B$7)-1</f>
        <v>0.197177300296306</v>
      </c>
    </row>
    <row r="39" customFormat="false" ht="15" hidden="false" customHeight="false" outlineLevel="0" collapsed="false">
      <c r="A39" s="4" t="s">
        <v>226</v>
      </c>
      <c r="B39" s="18" t="n">
        <f aca="false">B35/(1+假设!$B$6)^假设!$B$7</f>
        <v>541.744802086651</v>
      </c>
    </row>
    <row r="40" customFormat="false" ht="15" hidden="false" customHeight="false" outlineLevel="0" collapsed="false">
      <c r="A40" s="4" t="s">
        <v>227</v>
      </c>
      <c r="B40" s="7" t="n">
        <f aca="false">(F31/C31)^(1/3)-1</f>
        <v>0.172892726448161</v>
      </c>
    </row>
    <row r="41" customFormat="false" ht="15" hidden="false" customHeight="false" outlineLevel="0" collapsed="false">
      <c r="A41" s="4" t="s">
        <v>228</v>
      </c>
      <c r="B41" s="7" t="n">
        <f aca="false">(F14/B14)^(1/4)-1</f>
        <v>0.146522108370353</v>
      </c>
    </row>
    <row r="43" customFormat="false" ht="15" hidden="false" customHeight="false" outlineLevel="0" collapsed="false">
      <c r="A43" s="16" t="s">
        <v>229</v>
      </c>
      <c r="B43" s="17"/>
      <c r="C43" s="17"/>
      <c r="D43" s="17"/>
      <c r="E43" s="17"/>
      <c r="F43" s="17"/>
      <c r="G43" s="17"/>
    </row>
    <row r="44" customFormat="false" ht="15" hidden="false" customHeight="false" outlineLevel="0" collapsed="false">
      <c r="A44" s="5" t="s">
        <v>66</v>
      </c>
      <c r="B44" s="19" t="s">
        <v>198</v>
      </c>
      <c r="C44" s="19" t="s">
        <v>167</v>
      </c>
      <c r="D44" s="19" t="s">
        <v>168</v>
      </c>
      <c r="E44" s="19" t="s">
        <v>169</v>
      </c>
      <c r="F44" s="19" t="s">
        <v>170</v>
      </c>
      <c r="G44" s="5" t="s">
        <v>199</v>
      </c>
    </row>
    <row r="45" customFormat="false" ht="15" hidden="false" customHeight="false" outlineLevel="0" collapsed="false">
      <c r="A45" s="3" t="s">
        <v>200</v>
      </c>
      <c r="B45" s="8" t="n">
        <f aca="false">历史数据!$G$26</f>
        <v>3153</v>
      </c>
      <c r="C45" s="27" t="n">
        <f aca="false">B45*(1+假设!B$40)</f>
        <v>3610.185</v>
      </c>
      <c r="D45" s="27" t="n">
        <f aca="false">C45*(1+假设!C$40)</f>
        <v>4061.458125</v>
      </c>
      <c r="E45" s="27" t="n">
        <f aca="false">D45*(1+假设!D$40)</f>
        <v>4548.8331</v>
      </c>
      <c r="F45" s="27" t="n">
        <f aca="false">E45*(1+假设!E$40)</f>
        <v>5049.204741</v>
      </c>
    </row>
    <row r="46" customFormat="false" ht="15" hidden="false" customHeight="false" outlineLevel="0" collapsed="false">
      <c r="A46" s="4" t="s">
        <v>201</v>
      </c>
      <c r="B46" s="6" t="n">
        <f aca="false">历史数据!G38</f>
        <v>0.175177040626165</v>
      </c>
      <c r="C46" s="7" t="n">
        <f aca="false">C45/B45-1</f>
        <v>0.145</v>
      </c>
      <c r="D46" s="7" t="n">
        <f aca="false">D45/C45-1</f>
        <v>0.125</v>
      </c>
      <c r="E46" s="7" t="n">
        <f aca="false">E45/D45-1</f>
        <v>0.12</v>
      </c>
      <c r="F46" s="7" t="n">
        <f aca="false">F45/E45-1</f>
        <v>0.11</v>
      </c>
    </row>
    <row r="47" customFormat="false" ht="15" hidden="false" customHeight="false" outlineLevel="0" collapsed="false">
      <c r="A47" s="4" t="s">
        <v>202</v>
      </c>
      <c r="B47" s="32" t="n">
        <f aca="false">历史数据!$G$5/历史数据!$G$26*1000</f>
        <v>1908.94386298763</v>
      </c>
      <c r="C47" s="26" t="n">
        <f aca="false">B47*(1+假设!B$41)</f>
        <v>1956.66745956232</v>
      </c>
      <c r="D47" s="26" t="n">
        <f aca="false">C47*(1+假设!C$41)</f>
        <v>1897.96743577545</v>
      </c>
      <c r="E47" s="26" t="n">
        <f aca="false">D47*(1+假设!D$41)</f>
        <v>1878.9877614177</v>
      </c>
      <c r="F47" s="26" t="n">
        <f aca="false">E47*(1+假设!E$41)</f>
        <v>1878.9877614177</v>
      </c>
      <c r="G47" s="4" t="s">
        <v>203</v>
      </c>
    </row>
    <row r="48" customFormat="false" ht="15" hidden="false" customHeight="false" outlineLevel="0" collapsed="false">
      <c r="A48" s="3" t="s">
        <v>204</v>
      </c>
      <c r="B48" s="33" t="n">
        <f aca="false">历史数据!$G$5</f>
        <v>6018.9</v>
      </c>
      <c r="C48" s="22" t="n">
        <f aca="false">C45*C47/1000</f>
        <v>7063.9315125</v>
      </c>
      <c r="D48" s="22" t="n">
        <f aca="false">D45*D47/1000</f>
        <v>7708.51526301563</v>
      </c>
      <c r="E48" s="22" t="n">
        <f aca="false">E45*E47/1000</f>
        <v>8547.20172363173</v>
      </c>
      <c r="F48" s="22" t="n">
        <f aca="false">F45*F47/1000</f>
        <v>9487.39391323122</v>
      </c>
    </row>
    <row r="49" customFormat="false" ht="15" hidden="false" customHeight="false" outlineLevel="0" collapsed="false">
      <c r="A49" s="3" t="s">
        <v>205</v>
      </c>
      <c r="B49" s="8" t="n">
        <f aca="false">历史数据!$G$27</f>
        <v>11106</v>
      </c>
      <c r="C49" s="27" t="n">
        <f aca="false">B49*(1+假设!B$42)</f>
        <v>12383.19</v>
      </c>
      <c r="D49" s="27" t="n">
        <f aca="false">C49*(1+假设!C$42)</f>
        <v>13745.3409</v>
      </c>
      <c r="E49" s="27" t="n">
        <f aca="false">D49*(1+假设!D$42)</f>
        <v>15188.6016945</v>
      </c>
      <c r="F49" s="27" t="n">
        <f aca="false">E49*(1+假设!E$42)</f>
        <v>16707.46186395</v>
      </c>
    </row>
    <row r="50" customFormat="false" ht="15" hidden="false" customHeight="false" outlineLevel="0" collapsed="false">
      <c r="A50" s="4" t="s">
        <v>206</v>
      </c>
      <c r="B50" s="8" t="n">
        <f aca="false">(历史数据!$F$27+历史数据!$G$27)/2</f>
        <v>10504</v>
      </c>
      <c r="C50" s="27" t="n">
        <f aca="false">(B49+C49)/2</f>
        <v>11744.595</v>
      </c>
      <c r="D50" s="27" t="n">
        <f aca="false">(C49+D49)/2</f>
        <v>13064.26545</v>
      </c>
      <c r="E50" s="27" t="n">
        <f aca="false">(D49+E49)/2</f>
        <v>14466.97129725</v>
      </c>
      <c r="F50" s="27" t="n">
        <f aca="false">(E49+F49)/2</f>
        <v>15948.031779225</v>
      </c>
    </row>
    <row r="51" customFormat="false" ht="15" hidden="false" customHeight="false" outlineLevel="0" collapsed="false">
      <c r="A51" s="4" t="s">
        <v>207</v>
      </c>
      <c r="B51" s="22" t="n">
        <f aca="false">历史数据!$G$7/B50*1000</f>
        <v>149.666793602437</v>
      </c>
      <c r="C51" s="22" t="n">
        <f aca="false">B51*(1+假设!B$43)</f>
        <v>158.646801218583</v>
      </c>
      <c r="D51" s="22" t="n">
        <f aca="false">C51*(1+假设!C$43)</f>
        <v>163.406205255141</v>
      </c>
      <c r="E51" s="22" t="n">
        <f aca="false">D51*(1+假设!D$43)</f>
        <v>168.308391412795</v>
      </c>
      <c r="F51" s="22" t="n">
        <f aca="false">E51*(1+假设!E$43)</f>
        <v>173.357643155179</v>
      </c>
      <c r="G51" s="4" t="s">
        <v>208</v>
      </c>
    </row>
    <row r="52" customFormat="false" ht="15" hidden="false" customHeight="false" outlineLevel="0" collapsed="false">
      <c r="A52" s="4" t="s">
        <v>81</v>
      </c>
      <c r="B52" s="33" t="n">
        <f aca="false">历史数据!$G$7</f>
        <v>1572.1</v>
      </c>
      <c r="C52" s="22" t="n">
        <f aca="false">C50*C51/1000</f>
        <v>1863.24242835777</v>
      </c>
      <c r="D52" s="22" t="n">
        <f aca="false">D50*D51/1000</f>
        <v>2134.78204163035</v>
      </c>
      <c r="E52" s="22" t="n">
        <f aca="false">E50*E51/1000</f>
        <v>2434.91266765523</v>
      </c>
      <c r="F52" s="22" t="n">
        <f aca="false">F50*F51/1000</f>
        <v>2764.71320221034</v>
      </c>
    </row>
    <row r="53" customFormat="false" ht="15" hidden="false" customHeight="false" outlineLevel="0" collapsed="false">
      <c r="A53" s="4" t="s">
        <v>79</v>
      </c>
      <c r="B53" s="33" t="n">
        <f aca="false">历史数据!$G$6</f>
        <v>2473.7</v>
      </c>
      <c r="C53" s="22" t="n">
        <f aca="false">B53*(1+假设!B$44)</f>
        <v>2844.755</v>
      </c>
      <c r="D53" s="22" t="n">
        <f aca="false">C53*(1+假设!C$44)</f>
        <v>3015.4403</v>
      </c>
      <c r="E53" s="22" t="n">
        <f aca="false">D53*(1+假设!D$44)</f>
        <v>3196.366718</v>
      </c>
      <c r="F53" s="22" t="n">
        <f aca="false">E53*(1+假设!E$44)</f>
        <v>3388.14872108</v>
      </c>
    </row>
    <row r="54" customFormat="false" ht="15" hidden="false" customHeight="false" outlineLevel="0" collapsed="false">
      <c r="A54" s="15" t="s">
        <v>82</v>
      </c>
      <c r="B54" s="34" t="n">
        <f aca="false">历史数据!$G$8</f>
        <v>10064.7</v>
      </c>
      <c r="C54" s="21" t="n">
        <f aca="false">C48+C52+C53</f>
        <v>11771.9289408578</v>
      </c>
      <c r="D54" s="21" t="n">
        <f aca="false">D48+D52+D53</f>
        <v>12858.737604646</v>
      </c>
      <c r="E54" s="21" t="n">
        <f aca="false">E48+E52+E53</f>
        <v>14178.481109287</v>
      </c>
      <c r="F54" s="21" t="n">
        <f aca="false">F48+F52+F53</f>
        <v>15640.2558365216</v>
      </c>
    </row>
    <row r="55" customFormat="false" ht="15" hidden="false" customHeight="false" outlineLevel="0" collapsed="false">
      <c r="A55" s="4" t="s">
        <v>209</v>
      </c>
      <c r="B55" s="6" t="n">
        <f aca="false">历史数据!G32</f>
        <v>0.205050226889046</v>
      </c>
      <c r="C55" s="7" t="n">
        <f aca="false">C54/B54-1</f>
        <v>0.169625417633687</v>
      </c>
      <c r="D55" s="7" t="n">
        <f aca="false">D54/C54-1</f>
        <v>0.0923220543759937</v>
      </c>
      <c r="E55" s="7" t="n">
        <f aca="false">E54/D54-1</f>
        <v>0.102633986726982</v>
      </c>
      <c r="F55" s="7" t="n">
        <f aca="false">F54/E54-1</f>
        <v>0.103098118618442</v>
      </c>
    </row>
    <row r="56" customFormat="false" ht="15" hidden="false" customHeight="false" outlineLevel="0" collapsed="false">
      <c r="A56" s="3" t="s">
        <v>187</v>
      </c>
      <c r="B56" s="6" t="n">
        <f aca="false">历史数据!$G$9/历史数据!$G$8</f>
        <v>0.65996005842201</v>
      </c>
      <c r="C56" s="7" t="n">
        <f aca="false">假设!B$45</f>
        <v>0.673</v>
      </c>
      <c r="D56" s="7" t="n">
        <f aca="false">假设!C$45</f>
        <v>0.67</v>
      </c>
      <c r="E56" s="7" t="n">
        <f aca="false">假设!D$45</f>
        <v>0.675</v>
      </c>
      <c r="F56" s="7" t="n">
        <f aca="false">假设!E$45</f>
        <v>0.68</v>
      </c>
    </row>
    <row r="57" customFormat="false" ht="15" hidden="false" customHeight="false" outlineLevel="0" collapsed="false">
      <c r="A57" s="4" t="s">
        <v>84</v>
      </c>
      <c r="B57" s="33" t="n">
        <f aca="false">历史数据!$G$9</f>
        <v>6642.3</v>
      </c>
      <c r="C57" s="22" t="n">
        <f aca="false">C54*C56</f>
        <v>7922.50817719728</v>
      </c>
      <c r="D57" s="22" t="n">
        <f aca="false">D54*D56</f>
        <v>8615.3541951128</v>
      </c>
      <c r="E57" s="22" t="n">
        <f aca="false">E54*E56</f>
        <v>9570.47474876869</v>
      </c>
      <c r="F57" s="22" t="n">
        <f aca="false">F54*F56</f>
        <v>10635.3739688347</v>
      </c>
    </row>
    <row r="58" customFormat="false" ht="15" hidden="false" customHeight="false" outlineLevel="0" collapsed="false">
      <c r="A58" s="4" t="s">
        <v>210</v>
      </c>
      <c r="B58" s="33" t="n">
        <f aca="false">历史数据!$G$12</f>
        <v>3696.8</v>
      </c>
      <c r="C58" s="22" t="n">
        <f aca="false">B58*(1+假设!B$46)</f>
        <v>4140.416</v>
      </c>
      <c r="D58" s="22" t="n">
        <f aca="false">C58*(1+假设!C$46)</f>
        <v>4513.05344</v>
      </c>
      <c r="E58" s="22" t="n">
        <f aca="false">D58*(1+假设!D$46)</f>
        <v>4919.2282496</v>
      </c>
      <c r="F58" s="22" t="n">
        <f aca="false">E58*(1+假设!E$46)</f>
        <v>5361.958792064</v>
      </c>
    </row>
    <row r="59" customFormat="false" ht="15" hidden="false" customHeight="false" outlineLevel="0" collapsed="false">
      <c r="A59" s="15" t="s">
        <v>211</v>
      </c>
      <c r="B59" s="34" t="n">
        <f aca="false">历史数据!$G$13</f>
        <v>2945.5</v>
      </c>
      <c r="C59" s="21" t="n">
        <f aca="false">C57-C58</f>
        <v>3782.09217719728</v>
      </c>
      <c r="D59" s="21" t="n">
        <f aca="false">D57-D58</f>
        <v>4102.3007551128</v>
      </c>
      <c r="E59" s="21" t="n">
        <f aca="false">E57-E58</f>
        <v>4651.24649916869</v>
      </c>
      <c r="F59" s="21" t="n">
        <f aca="false">F57-F58</f>
        <v>5273.41517677066</v>
      </c>
    </row>
    <row r="60" customFormat="false" ht="15" hidden="false" customHeight="false" outlineLevel="0" collapsed="false">
      <c r="A60" s="4" t="s">
        <v>212</v>
      </c>
      <c r="B60" s="7" t="n">
        <f aca="false">B59/B54</f>
        <v>0.292656512364999</v>
      </c>
      <c r="C60" s="7" t="n">
        <f aca="false">C59/C54</f>
        <v>0.321280581644566</v>
      </c>
      <c r="D60" s="7" t="n">
        <f aca="false">D59/D54</f>
        <v>0.319028265545337</v>
      </c>
      <c r="E60" s="7" t="n">
        <f aca="false">E59/E54</f>
        <v>0.328049701749936</v>
      </c>
      <c r="F60" s="7" t="n">
        <f aca="false">F59/F54</f>
        <v>0.337169368064729</v>
      </c>
    </row>
    <row r="61" customFormat="false" ht="15" hidden="false" customHeight="false" outlineLevel="0" collapsed="false">
      <c r="A61" s="4" t="s">
        <v>93</v>
      </c>
      <c r="B61" s="33" t="n">
        <f aca="false">历史数据!$G$14</f>
        <v>365.9</v>
      </c>
      <c r="C61" s="22" t="n">
        <f aca="false">假设!B$21</f>
        <v>325</v>
      </c>
      <c r="D61" s="22" t="n">
        <f aca="false">假设!C$21</f>
        <v>340</v>
      </c>
      <c r="E61" s="22" t="n">
        <f aca="false">假设!D$21</f>
        <v>355</v>
      </c>
      <c r="F61" s="22" t="n">
        <f aca="false">假设!E$21</f>
        <v>370</v>
      </c>
    </row>
    <row r="62" customFormat="false" ht="15" hidden="false" customHeight="false" outlineLevel="0" collapsed="false">
      <c r="A62" s="4" t="s">
        <v>95</v>
      </c>
      <c r="B62" s="33" t="n">
        <f aca="false">历史数据!$G$15</f>
        <v>3311.4</v>
      </c>
      <c r="C62" s="22" t="n">
        <f aca="false">C59+C61</f>
        <v>4107.09217719728</v>
      </c>
      <c r="D62" s="22" t="n">
        <f aca="false">D59+D61</f>
        <v>4442.3007551128</v>
      </c>
      <c r="E62" s="22" t="n">
        <f aca="false">E59+E61</f>
        <v>5006.24649916869</v>
      </c>
      <c r="F62" s="22" t="n">
        <f aca="false">F59+F61</f>
        <v>5643.41517677066</v>
      </c>
    </row>
    <row r="63" customFormat="false" ht="15" hidden="false" customHeight="false" outlineLevel="0" collapsed="false">
      <c r="A63" s="4" t="s">
        <v>213</v>
      </c>
      <c r="B63" s="33" t="n">
        <f aca="false">历史数据!$G$16</f>
        <v>434.8</v>
      </c>
      <c r="C63" s="22" t="n">
        <f aca="false">C62*假设!$B$9</f>
        <v>780.347513667483</v>
      </c>
      <c r="D63" s="22" t="n">
        <f aca="false">D62*假设!$B$9</f>
        <v>844.037143471432</v>
      </c>
      <c r="E63" s="22" t="n">
        <f aca="false">E62*假设!$B$9</f>
        <v>951.186834842051</v>
      </c>
      <c r="F63" s="22" t="n">
        <f aca="false">F62*假设!$B$9</f>
        <v>1072.24888358643</v>
      </c>
    </row>
    <row r="64" customFormat="false" ht="15" hidden="false" customHeight="false" outlineLevel="0" collapsed="false">
      <c r="A64" s="4" t="s">
        <v>97</v>
      </c>
      <c r="B64" s="33" t="n">
        <f aca="false">历史数据!$G$17</f>
        <v>20.6</v>
      </c>
      <c r="C64" s="22" t="n">
        <f aca="false">假设!$B$11</f>
        <v>20</v>
      </c>
      <c r="D64" s="22" t="n">
        <f aca="false">假设!$B$11</f>
        <v>20</v>
      </c>
      <c r="E64" s="22" t="n">
        <f aca="false">假设!$B$11</f>
        <v>20</v>
      </c>
      <c r="F64" s="22" t="n">
        <f aca="false">假设!$B$11</f>
        <v>20</v>
      </c>
    </row>
    <row r="65" customFormat="false" ht="15" hidden="false" customHeight="false" outlineLevel="0" collapsed="false">
      <c r="A65" s="14" t="s">
        <v>214</v>
      </c>
      <c r="B65" s="34" t="n">
        <f aca="false">历史数据!$G$18</f>
        <v>2856</v>
      </c>
      <c r="C65" s="21" t="n">
        <f aca="false">C62-C63-C64</f>
        <v>3306.74466352979</v>
      </c>
      <c r="D65" s="21" t="n">
        <f aca="false">D62-D63-D64</f>
        <v>3578.26361164137</v>
      </c>
      <c r="E65" s="21" t="n">
        <f aca="false">E62-E63-E64</f>
        <v>4035.05966432664</v>
      </c>
      <c r="F65" s="21" t="n">
        <f aca="false">F62-F63-F64</f>
        <v>4551.16629318424</v>
      </c>
    </row>
    <row r="66" customFormat="false" ht="15" hidden="false" customHeight="false" outlineLevel="0" collapsed="false">
      <c r="A66" s="4" t="s">
        <v>215</v>
      </c>
      <c r="B66" s="33" t="n">
        <f aca="false">历史数据!$G$19</f>
        <v>362.7</v>
      </c>
      <c r="C66" s="22" t="n">
        <f aca="false">B66*(1+假设!B$47)</f>
        <v>357.6222</v>
      </c>
      <c r="D66" s="22" t="n">
        <f aca="false">C66*(1+假设!C$47)</f>
        <v>354.7612224</v>
      </c>
      <c r="E66" s="22" t="n">
        <f aca="false">D66*(1+假设!D$47)</f>
        <v>351.9231326208</v>
      </c>
      <c r="F66" s="22" t="n">
        <f aca="false">E66*(1+假设!E$47)</f>
        <v>349.107747559834</v>
      </c>
    </row>
    <row r="67" customFormat="false" ht="15" hidden="false" customHeight="false" outlineLevel="0" collapsed="false">
      <c r="A67" s="14" t="s">
        <v>216</v>
      </c>
      <c r="B67" s="35" t="n">
        <f aca="false">历史数据!$G$20</f>
        <v>7.87</v>
      </c>
      <c r="C67" s="12" t="n">
        <f aca="false">C65/C66</f>
        <v>9.24647480925344</v>
      </c>
      <c r="D67" s="12" t="n">
        <f aca="false">D65/D66</f>
        <v>10.0864000508117</v>
      </c>
      <c r="E67" s="12" t="n">
        <f aca="false">E65/E66</f>
        <v>11.4657414938235</v>
      </c>
      <c r="F67" s="12" t="n">
        <f aca="false">F65/F66</f>
        <v>13.0365662893351</v>
      </c>
    </row>
    <row r="68" customFormat="false" ht="15" hidden="false" customHeight="false" outlineLevel="0" collapsed="false">
      <c r="A68" s="4" t="s">
        <v>217</v>
      </c>
      <c r="B68" s="33" t="n">
        <f aca="false">历史数据!$G$22</f>
        <v>788.2</v>
      </c>
      <c r="C68" s="22" t="n">
        <f aca="false">假设!$B$13</f>
        <v>890</v>
      </c>
      <c r="D68" s="22" t="n">
        <f aca="false">C68*(1+假设!$B$14)</f>
        <v>961.2</v>
      </c>
      <c r="E68" s="22" t="n">
        <f aca="false">D68*(1+假设!$B$14)</f>
        <v>1038.096</v>
      </c>
      <c r="F68" s="22" t="n">
        <f aca="false">E68*(1+假设!$B$14)</f>
        <v>1121.14368</v>
      </c>
    </row>
    <row r="69" customFormat="false" ht="15" hidden="false" customHeight="false" outlineLevel="0" collapsed="false">
      <c r="A69" s="4" t="s">
        <v>218</v>
      </c>
      <c r="B69" s="36"/>
      <c r="C69" s="22" t="n">
        <f aca="false">假设!$B$12</f>
        <v>80</v>
      </c>
      <c r="D69" s="22" t="n">
        <f aca="false">假设!$B$12</f>
        <v>80</v>
      </c>
      <c r="E69" s="22" t="n">
        <f aca="false">假设!$B$12</f>
        <v>80</v>
      </c>
      <c r="F69" s="22" t="n">
        <f aca="false">假设!$B$12</f>
        <v>80</v>
      </c>
    </row>
    <row r="70" customFormat="false" ht="15" hidden="false" customHeight="false" outlineLevel="0" collapsed="false">
      <c r="A70" s="4" t="s">
        <v>219</v>
      </c>
      <c r="B70" s="36"/>
      <c r="C70" s="22" t="n">
        <f aca="false">(C62+C68+C69)*(1-假设!$B$10)-C64</f>
        <v>3914.74643732789</v>
      </c>
      <c r="D70" s="22" t="n">
        <f aca="false">(D62+D68+D69)*(1-假设!$B$10)-D64</f>
        <v>4229.71308521242</v>
      </c>
      <c r="E70" s="22" t="n">
        <f aca="false">(E62+E68+E69)*(1-假设!$B$10)-E64</f>
        <v>4726.36543685574</v>
      </c>
      <c r="F70" s="22" t="n">
        <f aca="false">(F62+F68+F69)*(1-假设!$B$10)-F64</f>
        <v>5284.53311399726</v>
      </c>
      <c r="G70" s="4" t="s">
        <v>220</v>
      </c>
    </row>
    <row r="71" customFormat="false" ht="15" hidden="false" customHeight="false" outlineLevel="0" collapsed="false">
      <c r="A71" s="15" t="s">
        <v>221</v>
      </c>
      <c r="B71" s="35" t="n">
        <f aca="false">历史数据!$G$21</f>
        <v>8.93</v>
      </c>
      <c r="C71" s="12" t="n">
        <f aca="false">C70/C66</f>
        <v>10.9465979386288</v>
      </c>
      <c r="D71" s="12" t="n">
        <f aca="false">D70/D66</f>
        <v>11.9227041123546</v>
      </c>
      <c r="E71" s="12" t="n">
        <f aca="false">E70/E66</f>
        <v>13.4301073125205</v>
      </c>
      <c r="F71" s="12" t="n">
        <f aca="false">F70/F66</f>
        <v>15.1372553343049</v>
      </c>
    </row>
    <row r="72" customFormat="false" ht="15" hidden="false" customHeight="false" outlineLevel="0" collapsed="false">
      <c r="A72" s="4" t="s">
        <v>222</v>
      </c>
      <c r="B72" s="37"/>
      <c r="C72" s="7" t="n">
        <f aca="false">IF(B71=0,"",C71/B71-1)</f>
        <v>0.225822837472428</v>
      </c>
      <c r="D72" s="7" t="n">
        <f aca="false">IF(C71=0,"",D71/C71-1)</f>
        <v>0.0891698205413467</v>
      </c>
      <c r="E72" s="7" t="n">
        <f aca="false">IF(D71=0,"",E71/D71-1)</f>
        <v>0.126431318429175</v>
      </c>
      <c r="F72" s="7" t="n">
        <f aca="false">IF(E71=0,"",F71/E71-1)</f>
        <v>0.127113505652546</v>
      </c>
    </row>
    <row r="73" customFormat="false" ht="15" hidden="false" customHeight="false" outlineLevel="0" collapsed="false">
      <c r="A73" s="14" t="s">
        <v>223</v>
      </c>
    </row>
    <row r="74" customFormat="false" ht="15" hidden="false" customHeight="false" outlineLevel="0" collapsed="false">
      <c r="A74" s="4" t="s">
        <v>36</v>
      </c>
      <c r="B74" s="13" t="n">
        <f aca="false">假设!$B$39</f>
        <v>30</v>
      </c>
    </row>
    <row r="75" customFormat="false" ht="15" hidden="false" customHeight="false" outlineLevel="0" collapsed="false">
      <c r="A75" s="3" t="s">
        <v>224</v>
      </c>
      <c r="B75" s="12" t="n">
        <f aca="false">F71*B74</f>
        <v>454.117660029147</v>
      </c>
    </row>
    <row r="76" customFormat="false" ht="15" hidden="false" customHeight="false" outlineLevel="0" collapsed="false">
      <c r="A76" s="4" t="s">
        <v>225</v>
      </c>
      <c r="B76" s="38" t="n">
        <f aca="false">B75/F67</f>
        <v>34.834146503796</v>
      </c>
    </row>
    <row r="77" customFormat="false" ht="15" hidden="false" customHeight="false" outlineLevel="0" collapsed="false">
      <c r="A77" s="4" t="s">
        <v>38</v>
      </c>
      <c r="B77" s="7" t="n">
        <f aca="false">B75/假设!$B$4-1</f>
        <v>0.0806150295763068</v>
      </c>
    </row>
    <row r="78" customFormat="false" ht="15" hidden="false" customHeight="false" outlineLevel="0" collapsed="false">
      <c r="A78" s="4" t="s">
        <v>39</v>
      </c>
      <c r="B78" s="7" t="n">
        <f aca="false">(B75/假设!$B$4)^(1/假设!$B$7)-1</f>
        <v>0.0261802876745316</v>
      </c>
    </row>
    <row r="79" customFormat="false" ht="15" hidden="false" customHeight="false" outlineLevel="0" collapsed="false">
      <c r="A79" s="4" t="s">
        <v>226</v>
      </c>
      <c r="B79" s="18" t="n">
        <f aca="false">B75/(1+假设!$B$6)^假设!$B$7</f>
        <v>341.185319330689</v>
      </c>
    </row>
    <row r="80" customFormat="false" ht="15" hidden="false" customHeight="false" outlineLevel="0" collapsed="false">
      <c r="A80" s="4" t="s">
        <v>227</v>
      </c>
      <c r="B80" s="7" t="n">
        <f aca="false">(F71/C71)^(1/3)-1</f>
        <v>0.114096106658319</v>
      </c>
    </row>
    <row r="81" customFormat="false" ht="15" hidden="false" customHeight="false" outlineLevel="0" collapsed="false">
      <c r="A81" s="4" t="s">
        <v>228</v>
      </c>
      <c r="B81" s="7" t="n">
        <f aca="false">(F54/B54)^(1/4)-1</f>
        <v>0.11650521162111</v>
      </c>
    </row>
    <row r="83" customFormat="false" ht="15" hidden="false" customHeight="false" outlineLevel="0" collapsed="false">
      <c r="A83" s="16" t="s">
        <v>230</v>
      </c>
      <c r="B83" s="17"/>
      <c r="C83" s="17"/>
      <c r="D83" s="17"/>
      <c r="E83" s="17"/>
      <c r="F83" s="17"/>
      <c r="G83" s="17"/>
    </row>
    <row r="84" customFormat="false" ht="15" hidden="false" customHeight="false" outlineLevel="0" collapsed="false">
      <c r="A84" s="5" t="s">
        <v>66</v>
      </c>
      <c r="B84" s="19" t="s">
        <v>198</v>
      </c>
      <c r="C84" s="19" t="s">
        <v>167</v>
      </c>
      <c r="D84" s="19" t="s">
        <v>168</v>
      </c>
      <c r="E84" s="19" t="s">
        <v>169</v>
      </c>
      <c r="F84" s="19" t="s">
        <v>170</v>
      </c>
      <c r="G84" s="5" t="s">
        <v>199</v>
      </c>
    </row>
    <row r="85" customFormat="false" ht="15" hidden="false" customHeight="false" outlineLevel="0" collapsed="false">
      <c r="A85" s="3" t="s">
        <v>200</v>
      </c>
      <c r="B85" s="8" t="n">
        <f aca="false">历史数据!$G$26</f>
        <v>3153</v>
      </c>
      <c r="C85" s="27" t="n">
        <f aca="false">B85*(1+假设!B$53)</f>
        <v>3594.42</v>
      </c>
      <c r="D85" s="27" t="n">
        <f aca="false">C85*(1+假设!C$53)</f>
        <v>3953.862</v>
      </c>
      <c r="E85" s="27" t="n">
        <f aca="false">D85*(1+假设!D$53)</f>
        <v>4309.70958</v>
      </c>
      <c r="F85" s="27" t="n">
        <f aca="false">E85*(1+假设!E$53)</f>
        <v>4654.4863464</v>
      </c>
    </row>
    <row r="86" customFormat="false" ht="15" hidden="false" customHeight="false" outlineLevel="0" collapsed="false">
      <c r="A86" s="4" t="s">
        <v>201</v>
      </c>
      <c r="B86" s="6" t="n">
        <f aca="false">历史数据!G38</f>
        <v>0.175177040626165</v>
      </c>
      <c r="C86" s="7" t="n">
        <f aca="false">C85/B85-1</f>
        <v>0.14</v>
      </c>
      <c r="D86" s="7" t="n">
        <f aca="false">D85/C85-1</f>
        <v>0.1</v>
      </c>
      <c r="E86" s="7" t="n">
        <f aca="false">E85/D85-1</f>
        <v>0.0900000000000001</v>
      </c>
      <c r="F86" s="7" t="n">
        <f aca="false">F85/E85-1</f>
        <v>0.0800000000000001</v>
      </c>
    </row>
    <row r="87" customFormat="false" ht="15" hidden="false" customHeight="false" outlineLevel="0" collapsed="false">
      <c r="A87" s="4" t="s">
        <v>202</v>
      </c>
      <c r="B87" s="32" t="n">
        <f aca="false">历史数据!$G$5/历史数据!$G$26*1000</f>
        <v>1908.94386298763</v>
      </c>
      <c r="C87" s="26" t="n">
        <f aca="false">B87*(1+假设!B$54)</f>
        <v>1947.12274024738</v>
      </c>
      <c r="D87" s="26" t="n">
        <f aca="false">C87*(1+假设!C$54)</f>
        <v>1830.29537583254</v>
      </c>
      <c r="E87" s="26" t="n">
        <f aca="false">D87*(1+假设!D$54)</f>
        <v>1793.68946831589</v>
      </c>
      <c r="F87" s="26" t="n">
        <f aca="false">E87*(1+假设!E$54)</f>
        <v>1775.75257363273</v>
      </c>
      <c r="G87" s="4" t="s">
        <v>203</v>
      </c>
    </row>
    <row r="88" customFormat="false" ht="15" hidden="false" customHeight="false" outlineLevel="0" collapsed="false">
      <c r="A88" s="3" t="s">
        <v>204</v>
      </c>
      <c r="B88" s="33" t="n">
        <f aca="false">历史数据!$G$5</f>
        <v>6018.9</v>
      </c>
      <c r="C88" s="22" t="n">
        <f aca="false">C85*C87/1000</f>
        <v>6998.77692</v>
      </c>
      <c r="D88" s="22" t="n">
        <f aca="false">D85*D87/1000</f>
        <v>7236.73533528</v>
      </c>
      <c r="E88" s="22" t="n">
        <f aca="false">E85*E87/1000</f>
        <v>7730.2806851461</v>
      </c>
      <c r="F88" s="22" t="n">
        <f aca="false">F85*F87/1000</f>
        <v>8265.21610855821</v>
      </c>
    </row>
    <row r="89" customFormat="false" ht="15" hidden="false" customHeight="false" outlineLevel="0" collapsed="false">
      <c r="A89" s="3" t="s">
        <v>205</v>
      </c>
      <c r="B89" s="8" t="n">
        <f aca="false">历史数据!$G$27</f>
        <v>11106</v>
      </c>
      <c r="C89" s="27" t="n">
        <f aca="false">B89*(1+假设!B$55)</f>
        <v>12383.19</v>
      </c>
      <c r="D89" s="27" t="n">
        <f aca="false">C89*(1+假设!C$55)</f>
        <v>13621.509</v>
      </c>
      <c r="E89" s="27" t="n">
        <f aca="false">D89*(1+假设!D$55)</f>
        <v>14847.44481</v>
      </c>
      <c r="F89" s="27" t="n">
        <f aca="false">E89*(1+假设!E$55)</f>
        <v>16035.2403948</v>
      </c>
    </row>
    <row r="90" customFormat="false" ht="15" hidden="false" customHeight="false" outlineLevel="0" collapsed="false">
      <c r="A90" s="4" t="s">
        <v>206</v>
      </c>
      <c r="B90" s="8" t="n">
        <f aca="false">(历史数据!$F$27+历史数据!$G$27)/2</f>
        <v>10504</v>
      </c>
      <c r="C90" s="27" t="n">
        <f aca="false">(B89+C89)/2</f>
        <v>11744.595</v>
      </c>
      <c r="D90" s="27" t="n">
        <f aca="false">(C89+D89)/2</f>
        <v>13002.3495</v>
      </c>
      <c r="E90" s="27" t="n">
        <f aca="false">(D89+E89)/2</f>
        <v>14234.476905</v>
      </c>
      <c r="F90" s="27" t="n">
        <f aca="false">(E89+F89)/2</f>
        <v>15441.3426024</v>
      </c>
    </row>
    <row r="91" customFormat="false" ht="15" hidden="false" customHeight="false" outlineLevel="0" collapsed="false">
      <c r="A91" s="4" t="s">
        <v>207</v>
      </c>
      <c r="B91" s="22" t="n">
        <f aca="false">历史数据!$G$7/B90*1000</f>
        <v>149.666793602437</v>
      </c>
      <c r="C91" s="22" t="n">
        <f aca="false">B91*(1+假设!B$56)</f>
        <v>157.150133282559</v>
      </c>
      <c r="D91" s="22" t="n">
        <f aca="false">C91*(1+假设!C$56)</f>
        <v>157.150133282559</v>
      </c>
      <c r="E91" s="22" t="n">
        <f aca="false">D91*(1+假设!D$56)</f>
        <v>157.150133282559</v>
      </c>
      <c r="F91" s="22" t="n">
        <f aca="false">E91*(1+假设!E$56)</f>
        <v>157.150133282559</v>
      </c>
      <c r="G91" s="4" t="s">
        <v>208</v>
      </c>
    </row>
    <row r="92" customFormat="false" ht="15" hidden="false" customHeight="false" outlineLevel="0" collapsed="false">
      <c r="A92" s="4" t="s">
        <v>81</v>
      </c>
      <c r="B92" s="33" t="n">
        <f aca="false">历史数据!$G$7</f>
        <v>1572.1</v>
      </c>
      <c r="C92" s="22" t="n">
        <f aca="false">C90*C91/1000</f>
        <v>1845.66466959968</v>
      </c>
      <c r="D92" s="22" t="n">
        <f aca="false">D90*D91/1000</f>
        <v>2043.32095691141</v>
      </c>
      <c r="E92" s="22" t="n">
        <f aca="false">E90*E91/1000</f>
        <v>2236.94994282826</v>
      </c>
      <c r="F92" s="22" t="n">
        <f aca="false">F90*F91/1000</f>
        <v>2426.60904802882</v>
      </c>
    </row>
    <row r="93" customFormat="false" ht="15" hidden="false" customHeight="false" outlineLevel="0" collapsed="false">
      <c r="A93" s="4" t="s">
        <v>79</v>
      </c>
      <c r="B93" s="33" t="n">
        <f aca="false">历史数据!$G$6</f>
        <v>2473.7</v>
      </c>
      <c r="C93" s="22" t="n">
        <f aca="false">B93*(1+假设!B$57)</f>
        <v>2770.544</v>
      </c>
      <c r="D93" s="22" t="n">
        <f aca="false">C93*(1+假设!C$57)</f>
        <v>2632.0168</v>
      </c>
      <c r="E93" s="22" t="n">
        <f aca="false">D93*(1+假设!D$57)</f>
        <v>2632.0168</v>
      </c>
      <c r="F93" s="22" t="n">
        <f aca="false">E93*(1+假设!E$57)</f>
        <v>2684.657136</v>
      </c>
    </row>
    <row r="94" customFormat="false" ht="15" hidden="false" customHeight="false" outlineLevel="0" collapsed="false">
      <c r="A94" s="15" t="s">
        <v>82</v>
      </c>
      <c r="B94" s="34" t="n">
        <f aca="false">历史数据!$G$8</f>
        <v>10064.7</v>
      </c>
      <c r="C94" s="21" t="n">
        <f aca="false">C88+C92+C93</f>
        <v>11614.9855895997</v>
      </c>
      <c r="D94" s="21" t="n">
        <f aca="false">D88+D92+D93</f>
        <v>11912.0730921914</v>
      </c>
      <c r="E94" s="21" t="n">
        <f aca="false">E88+E92+E93</f>
        <v>12599.2474279744</v>
      </c>
      <c r="F94" s="21" t="n">
        <f aca="false">F88+F92+F93</f>
        <v>13376.482292587</v>
      </c>
    </row>
    <row r="95" customFormat="false" ht="15" hidden="false" customHeight="false" outlineLevel="0" collapsed="false">
      <c r="A95" s="4" t="s">
        <v>209</v>
      </c>
      <c r="B95" s="6" t="n">
        <f aca="false">历史数据!G32</f>
        <v>0.205050226889046</v>
      </c>
      <c r="C95" s="7" t="n">
        <f aca="false">C94/B94-1</f>
        <v>0.154031972100478</v>
      </c>
      <c r="D95" s="7" t="n">
        <f aca="false">D94/C94-1</f>
        <v>0.0255779484442717</v>
      </c>
      <c r="E95" s="7" t="n">
        <f aca="false">E94/D94-1</f>
        <v>0.0576872161935773</v>
      </c>
      <c r="F95" s="7" t="n">
        <f aca="false">F94/E94-1</f>
        <v>0.0616889912715708</v>
      </c>
    </row>
    <row r="96" customFormat="false" ht="15" hidden="false" customHeight="false" outlineLevel="0" collapsed="false">
      <c r="A96" s="3" t="s">
        <v>187</v>
      </c>
      <c r="B96" s="6" t="n">
        <f aca="false">历史数据!$G$9/历史数据!$G$8</f>
        <v>0.65996005842201</v>
      </c>
      <c r="C96" s="7" t="n">
        <f aca="false">假设!B$58</f>
        <v>0.67</v>
      </c>
      <c r="D96" s="7" t="n">
        <f aca="false">假设!C$58</f>
        <v>0.655</v>
      </c>
      <c r="E96" s="7" t="n">
        <f aca="false">假设!D$58</f>
        <v>0.655</v>
      </c>
      <c r="F96" s="7" t="n">
        <f aca="false">假设!E$58</f>
        <v>0.66</v>
      </c>
    </row>
    <row r="97" customFormat="false" ht="15" hidden="false" customHeight="false" outlineLevel="0" collapsed="false">
      <c r="A97" s="4" t="s">
        <v>84</v>
      </c>
      <c r="B97" s="33" t="n">
        <f aca="false">历史数据!$G$9</f>
        <v>6642.3</v>
      </c>
      <c r="C97" s="22" t="n">
        <f aca="false">C94*C96</f>
        <v>7782.04034503178</v>
      </c>
      <c r="D97" s="22" t="n">
        <f aca="false">D94*D96</f>
        <v>7802.40787538538</v>
      </c>
      <c r="E97" s="22" t="n">
        <f aca="false">E94*E96</f>
        <v>8252.5070653232</v>
      </c>
      <c r="F97" s="22" t="n">
        <f aca="false">F94*F96</f>
        <v>8828.47831310744</v>
      </c>
    </row>
    <row r="98" customFormat="false" ht="15" hidden="false" customHeight="false" outlineLevel="0" collapsed="false">
      <c r="A98" s="4" t="s">
        <v>210</v>
      </c>
      <c r="B98" s="33" t="n">
        <f aca="false">历史数据!$G$12</f>
        <v>3696.8</v>
      </c>
      <c r="C98" s="22" t="n">
        <f aca="false">B98*(1+假设!B$59)</f>
        <v>4140.416</v>
      </c>
      <c r="D98" s="22" t="n">
        <f aca="false">C98*(1+假设!C$59)</f>
        <v>4471.64928</v>
      </c>
      <c r="E98" s="22" t="n">
        <f aca="false">D98*(1+假设!D$59)</f>
        <v>4784.6647296</v>
      </c>
      <c r="F98" s="22" t="n">
        <f aca="false">E98*(1+假设!E$59)</f>
        <v>5119.591260672</v>
      </c>
    </row>
    <row r="99" customFormat="false" ht="15" hidden="false" customHeight="false" outlineLevel="0" collapsed="false">
      <c r="A99" s="15" t="s">
        <v>211</v>
      </c>
      <c r="B99" s="34" t="n">
        <f aca="false">历史数据!$G$13</f>
        <v>2945.5</v>
      </c>
      <c r="C99" s="21" t="n">
        <f aca="false">C97-C98</f>
        <v>3641.62434503178</v>
      </c>
      <c r="D99" s="21" t="n">
        <f aca="false">D97-D98</f>
        <v>3330.75859538538</v>
      </c>
      <c r="E99" s="21" t="n">
        <f aca="false">E97-E98</f>
        <v>3467.8423357232</v>
      </c>
      <c r="F99" s="21" t="n">
        <f aca="false">F97-F98</f>
        <v>3708.88705243544</v>
      </c>
    </row>
    <row r="100" customFormat="false" ht="15" hidden="false" customHeight="false" outlineLevel="0" collapsed="false">
      <c r="A100" s="4" t="s">
        <v>212</v>
      </c>
      <c r="B100" s="7" t="n">
        <f aca="false">B99/B94</f>
        <v>0.292656512364999</v>
      </c>
      <c r="C100" s="7" t="n">
        <f aca="false">C99/C94</f>
        <v>0.3135280984156</v>
      </c>
      <c r="D100" s="7" t="n">
        <f aca="false">D99/D94</f>
        <v>0.279612001169532</v>
      </c>
      <c r="E100" s="7" t="n">
        <f aca="false">E99/E94</f>
        <v>0.275242021838819</v>
      </c>
      <c r="F100" s="7" t="n">
        <f aca="false">F99/F94</f>
        <v>0.277269238003688</v>
      </c>
    </row>
    <row r="101" customFormat="false" ht="15" hidden="false" customHeight="false" outlineLevel="0" collapsed="false">
      <c r="A101" s="4" t="s">
        <v>93</v>
      </c>
      <c r="B101" s="33" t="n">
        <f aca="false">历史数据!$G$14</f>
        <v>365.9</v>
      </c>
      <c r="C101" s="22" t="n">
        <f aca="false">假设!B$21</f>
        <v>325</v>
      </c>
      <c r="D101" s="22" t="n">
        <f aca="false">假设!C$21</f>
        <v>340</v>
      </c>
      <c r="E101" s="22" t="n">
        <f aca="false">假设!D$21</f>
        <v>355</v>
      </c>
      <c r="F101" s="22" t="n">
        <f aca="false">假设!E$21</f>
        <v>370</v>
      </c>
    </row>
    <row r="102" customFormat="false" ht="15" hidden="false" customHeight="false" outlineLevel="0" collapsed="false">
      <c r="A102" s="4" t="s">
        <v>95</v>
      </c>
      <c r="B102" s="33" t="n">
        <f aca="false">历史数据!$G$15</f>
        <v>3311.4</v>
      </c>
      <c r="C102" s="22" t="n">
        <f aca="false">C99+C101</f>
        <v>3966.62434503178</v>
      </c>
      <c r="D102" s="22" t="n">
        <f aca="false">D99+D101</f>
        <v>3670.75859538538</v>
      </c>
      <c r="E102" s="22" t="n">
        <f aca="false">E99+E101</f>
        <v>3822.8423357232</v>
      </c>
      <c r="F102" s="22" t="n">
        <f aca="false">F99+F101</f>
        <v>4078.88705243544</v>
      </c>
    </row>
    <row r="103" customFormat="false" ht="15" hidden="false" customHeight="false" outlineLevel="0" collapsed="false">
      <c r="A103" s="4" t="s">
        <v>213</v>
      </c>
      <c r="B103" s="33" t="n">
        <f aca="false">历史数据!$G$16</f>
        <v>434.8</v>
      </c>
      <c r="C103" s="22" t="n">
        <f aca="false">C102*假设!$B$9</f>
        <v>753.658625556039</v>
      </c>
      <c r="D103" s="22" t="n">
        <f aca="false">D102*假设!$B$9</f>
        <v>697.444133123222</v>
      </c>
      <c r="E103" s="22" t="n">
        <f aca="false">E102*假设!$B$9</f>
        <v>726.340043787409</v>
      </c>
      <c r="F103" s="22" t="n">
        <f aca="false">F102*假设!$B$9</f>
        <v>774.988539962733</v>
      </c>
    </row>
    <row r="104" customFormat="false" ht="15" hidden="false" customHeight="false" outlineLevel="0" collapsed="false">
      <c r="A104" s="4" t="s">
        <v>97</v>
      </c>
      <c r="B104" s="33" t="n">
        <f aca="false">历史数据!$G$17</f>
        <v>20.6</v>
      </c>
      <c r="C104" s="22" t="n">
        <f aca="false">假设!$B$11</f>
        <v>20</v>
      </c>
      <c r="D104" s="22" t="n">
        <f aca="false">假设!$B$11</f>
        <v>20</v>
      </c>
      <c r="E104" s="22" t="n">
        <f aca="false">假设!$B$11</f>
        <v>20</v>
      </c>
      <c r="F104" s="22" t="n">
        <f aca="false">假设!$B$11</f>
        <v>20</v>
      </c>
    </row>
    <row r="105" customFormat="false" ht="15" hidden="false" customHeight="false" outlineLevel="0" collapsed="false">
      <c r="A105" s="14" t="s">
        <v>214</v>
      </c>
      <c r="B105" s="34" t="n">
        <f aca="false">历史数据!$G$18</f>
        <v>2856</v>
      </c>
      <c r="C105" s="21" t="n">
        <f aca="false">C102-C103-C104</f>
        <v>3192.96571947575</v>
      </c>
      <c r="D105" s="21" t="n">
        <f aca="false">D102-D103-D104</f>
        <v>2953.31446226216</v>
      </c>
      <c r="E105" s="21" t="n">
        <f aca="false">E102-E103-E104</f>
        <v>3076.50229193579</v>
      </c>
      <c r="F105" s="21" t="n">
        <f aca="false">F102-F103-F104</f>
        <v>3283.8985124727</v>
      </c>
    </row>
    <row r="106" customFormat="false" ht="15" hidden="false" customHeight="false" outlineLevel="0" collapsed="false">
      <c r="A106" s="4" t="s">
        <v>215</v>
      </c>
      <c r="B106" s="33" t="n">
        <f aca="false">历史数据!$G$19</f>
        <v>362.7</v>
      </c>
      <c r="C106" s="22" t="n">
        <f aca="false">B106*(1+假设!B$60)</f>
        <v>357.6222</v>
      </c>
      <c r="D106" s="22" t="n">
        <f aca="false">C106*(1+假设!C$60)</f>
        <v>355.834089</v>
      </c>
      <c r="E106" s="22" t="n">
        <f aca="false">D106*(1+假设!D$60)</f>
        <v>354.054918555</v>
      </c>
      <c r="F106" s="22" t="n">
        <f aca="false">E106*(1+假设!E$60)</f>
        <v>352.284643962225</v>
      </c>
    </row>
    <row r="107" customFormat="false" ht="15" hidden="false" customHeight="false" outlineLevel="0" collapsed="false">
      <c r="A107" s="14" t="s">
        <v>216</v>
      </c>
      <c r="B107" s="35" t="n">
        <f aca="false">历史数据!$G$20</f>
        <v>7.87</v>
      </c>
      <c r="C107" s="12" t="n">
        <f aca="false">C105/C106</f>
        <v>8.92832077951465</v>
      </c>
      <c r="D107" s="12" t="n">
        <f aca="false">D105/D106</f>
        <v>8.29969514883144</v>
      </c>
      <c r="E107" s="12" t="n">
        <f aca="false">E105/E106</f>
        <v>8.68933640151614</v>
      </c>
      <c r="F107" s="12" t="n">
        <f aca="false">F105/F106</f>
        <v>9.32171915170061</v>
      </c>
    </row>
    <row r="108" customFormat="false" ht="15" hidden="false" customHeight="false" outlineLevel="0" collapsed="false">
      <c r="A108" s="4" t="s">
        <v>217</v>
      </c>
      <c r="B108" s="33" t="n">
        <f aca="false">历史数据!$G$22</f>
        <v>788.2</v>
      </c>
      <c r="C108" s="22" t="n">
        <f aca="false">假设!$B$13</f>
        <v>890</v>
      </c>
      <c r="D108" s="22" t="n">
        <f aca="false">C108*(1+假设!$B$14)</f>
        <v>961.2</v>
      </c>
      <c r="E108" s="22" t="n">
        <f aca="false">D108*(1+假设!$B$14)</f>
        <v>1038.096</v>
      </c>
      <c r="F108" s="22" t="n">
        <f aca="false">E108*(1+假设!$B$14)</f>
        <v>1121.14368</v>
      </c>
    </row>
    <row r="109" customFormat="false" ht="15" hidden="false" customHeight="false" outlineLevel="0" collapsed="false">
      <c r="A109" s="4" t="s">
        <v>218</v>
      </c>
      <c r="B109" s="36"/>
      <c r="C109" s="22" t="n">
        <f aca="false">假设!$B$12</f>
        <v>80</v>
      </c>
      <c r="D109" s="22" t="n">
        <f aca="false">假设!$B$12</f>
        <v>80</v>
      </c>
      <c r="E109" s="22" t="n">
        <f aca="false">假设!$B$12</f>
        <v>80</v>
      </c>
      <c r="F109" s="22" t="n">
        <f aca="false">假设!$B$12</f>
        <v>80</v>
      </c>
    </row>
    <row r="110" customFormat="false" ht="15" hidden="false" customHeight="false" outlineLevel="0" collapsed="false">
      <c r="A110" s="4" t="s">
        <v>219</v>
      </c>
      <c r="B110" s="36"/>
      <c r="C110" s="22" t="n">
        <f aca="false">(C102+C108+C109)*(1-假设!$B$10)-C104</f>
        <v>3805.88386739963</v>
      </c>
      <c r="D110" s="22" t="n">
        <f aca="false">(D102+D108+D109)*(1-假设!$B$10)-D104</f>
        <v>3631.76791142367</v>
      </c>
      <c r="E110" s="22" t="n">
        <f aca="false">(E102+E108+E109)*(1-假设!$B$10)-E104</f>
        <v>3809.22721018548</v>
      </c>
      <c r="F110" s="22" t="n">
        <f aca="false">(F102+F108+F109)*(1-假设!$B$10)-F104</f>
        <v>4072.02381763746</v>
      </c>
      <c r="G110" s="4" t="s">
        <v>220</v>
      </c>
    </row>
    <row r="111" customFormat="false" ht="15" hidden="false" customHeight="false" outlineLevel="0" collapsed="false">
      <c r="A111" s="15" t="s">
        <v>221</v>
      </c>
      <c r="B111" s="35" t="n">
        <f aca="false">历史数据!$G$21</f>
        <v>8.93</v>
      </c>
      <c r="C111" s="12" t="n">
        <f aca="false">C110/C106</f>
        <v>10.6421913052367</v>
      </c>
      <c r="D111" s="12" t="n">
        <f aca="false">D110/D106</f>
        <v>10.2063518468116</v>
      </c>
      <c r="E111" s="12" t="n">
        <f aca="false">E110/E106</f>
        <v>10.7588597433755</v>
      </c>
      <c r="F111" s="12" t="n">
        <f aca="false">F110/F106</f>
        <v>11.5589024030071</v>
      </c>
    </row>
    <row r="112" customFormat="false" ht="15" hidden="false" customHeight="false" outlineLevel="0" collapsed="false">
      <c r="A112" s="4" t="s">
        <v>222</v>
      </c>
      <c r="B112" s="37"/>
      <c r="C112" s="7" t="n">
        <f aca="false">IF(B111=0,"",C111/B111-1)</f>
        <v>0.191734748626734</v>
      </c>
      <c r="D112" s="7" t="n">
        <f aca="false">IF(C111=0,"",D111/C111-1)</f>
        <v>-0.0409539206658205</v>
      </c>
      <c r="E112" s="7" t="n">
        <f aca="false">IF(D111=0,"",E111/D111-1)</f>
        <v>0.054133730137524</v>
      </c>
      <c r="F112" s="7" t="n">
        <f aca="false">IF(E111=0,"",F111/E111-1)</f>
        <v>0.0743612872288073</v>
      </c>
    </row>
    <row r="113" customFormat="false" ht="15" hidden="false" customHeight="false" outlineLevel="0" collapsed="false">
      <c r="A113" s="14" t="s">
        <v>223</v>
      </c>
    </row>
    <row r="114" customFormat="false" ht="15" hidden="false" customHeight="false" outlineLevel="0" collapsed="false">
      <c r="A114" s="4" t="s">
        <v>36</v>
      </c>
      <c r="B114" s="13" t="n">
        <f aca="false">假设!$B$52</f>
        <v>22</v>
      </c>
    </row>
    <row r="115" customFormat="false" ht="15" hidden="false" customHeight="false" outlineLevel="0" collapsed="false">
      <c r="A115" s="3" t="s">
        <v>224</v>
      </c>
      <c r="B115" s="12" t="n">
        <f aca="false">F111*B114</f>
        <v>254.295852866156</v>
      </c>
    </row>
    <row r="116" customFormat="false" ht="15" hidden="false" customHeight="false" outlineLevel="0" collapsed="false">
      <c r="A116" s="4" t="s">
        <v>225</v>
      </c>
      <c r="B116" s="38" t="n">
        <f aca="false">B115/F107</f>
        <v>27.2799307432217</v>
      </c>
    </row>
    <row r="117" customFormat="false" ht="15" hidden="false" customHeight="false" outlineLevel="0" collapsed="false">
      <c r="A117" s="4" t="s">
        <v>38</v>
      </c>
      <c r="B117" s="7" t="n">
        <f aca="false">B115/假设!$B$4-1</f>
        <v>-0.39487946681383</v>
      </c>
    </row>
    <row r="118" customFormat="false" ht="15" hidden="false" customHeight="false" outlineLevel="0" collapsed="false">
      <c r="A118" s="4" t="s">
        <v>39</v>
      </c>
      <c r="B118" s="7" t="n">
        <f aca="false">(B115/假设!$B$4)^(1/假设!$B$7)-1</f>
        <v>-0.154174780844258</v>
      </c>
    </row>
    <row r="119" customFormat="false" ht="15" hidden="false" customHeight="false" outlineLevel="0" collapsed="false">
      <c r="A119" s="4" t="s">
        <v>226</v>
      </c>
      <c r="B119" s="18" t="n">
        <f aca="false">B115/(1+假设!$B$6)^假设!$B$7</f>
        <v>191.056238066233</v>
      </c>
    </row>
    <row r="120" customFormat="false" ht="15" hidden="false" customHeight="false" outlineLevel="0" collapsed="false">
      <c r="A120" s="4" t="s">
        <v>227</v>
      </c>
      <c r="B120" s="7" t="n">
        <f aca="false">(F111/C111)^(1/3)-1</f>
        <v>0.0279259857570822</v>
      </c>
    </row>
    <row r="121" customFormat="false" ht="15" hidden="false" customHeight="false" outlineLevel="0" collapsed="false">
      <c r="A121" s="4" t="s">
        <v>228</v>
      </c>
      <c r="B121" s="7" t="n">
        <f aca="false">(F94/B94)^(1/4)-1</f>
        <v>0.0737057308985232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28" t="s">
        <v>231</v>
      </c>
    </row>
    <row r="3" customFormat="false" ht="15" hidden="false" customHeight="false" outlineLevel="0" collapsed="false">
      <c r="A3" s="2" t="s">
        <v>232</v>
      </c>
    </row>
    <row r="4" customFormat="false" ht="15" hidden="false" customHeight="false" outlineLevel="0" collapsed="false">
      <c r="A4" s="5" t="s">
        <v>233</v>
      </c>
      <c r="B4" s="5" t="s">
        <v>25</v>
      </c>
      <c r="C4" s="5" t="s">
        <v>26</v>
      </c>
      <c r="D4" s="5" t="s">
        <v>27</v>
      </c>
      <c r="E4" s="5" t="s">
        <v>234</v>
      </c>
    </row>
    <row r="5" customFormat="false" ht="15" hidden="false" customHeight="false" outlineLevel="0" collapsed="false">
      <c r="A5" s="39" t="s">
        <v>235</v>
      </c>
      <c r="B5" s="11" t="n">
        <f aca="false">情景模型!F31</f>
        <v>18.0265582894333</v>
      </c>
      <c r="C5" s="11" t="n">
        <f aca="false">情景模型!F71</f>
        <v>15.1372553343049</v>
      </c>
      <c r="D5" s="11" t="n">
        <f aca="false">情景模型!F111</f>
        <v>11.5589024030071</v>
      </c>
    </row>
    <row r="6" customFormat="false" ht="15" hidden="false" customHeight="false" outlineLevel="0" collapsed="false">
      <c r="A6" s="40" t="n">
        <v>20</v>
      </c>
      <c r="B6" s="26" t="n">
        <f aca="false">B$5*$A6</f>
        <v>360.531165788666</v>
      </c>
      <c r="C6" s="26" t="n">
        <f aca="false">C$5*$A6</f>
        <v>302.745106686098</v>
      </c>
      <c r="D6" s="26" t="n">
        <f aca="false">D$5*$A6</f>
        <v>231.178048060142</v>
      </c>
      <c r="E6" s="26" t="n">
        <f aca="false">C6/(1+假设!$B$6)^假设!$B$7</f>
        <v>227.456879553793</v>
      </c>
    </row>
    <row r="7" customFormat="false" ht="15" hidden="false" customHeight="false" outlineLevel="0" collapsed="false">
      <c r="A7" s="40" t="n">
        <v>22</v>
      </c>
      <c r="B7" s="26" t="n">
        <f aca="false">B$5*$A7</f>
        <v>396.584282367533</v>
      </c>
      <c r="C7" s="26" t="n">
        <f aca="false">C$5*$A7</f>
        <v>333.019617354708</v>
      </c>
      <c r="D7" s="26" t="n">
        <f aca="false">D$5*$A7</f>
        <v>254.295852866156</v>
      </c>
      <c r="E7" s="26" t="n">
        <f aca="false">C7/(1+假设!$B$6)^假设!$B$7</f>
        <v>250.202567509172</v>
      </c>
    </row>
    <row r="8" customFormat="false" ht="15" hidden="false" customHeight="false" outlineLevel="0" collapsed="false">
      <c r="A8" s="40" t="n">
        <v>25</v>
      </c>
      <c r="B8" s="26" t="n">
        <f aca="false">B$5*$A8</f>
        <v>450.663957235833</v>
      </c>
      <c r="C8" s="26" t="n">
        <f aca="false">C$5*$A8</f>
        <v>378.431383357623</v>
      </c>
      <c r="D8" s="26" t="n">
        <f aca="false">D$5*$A8</f>
        <v>288.972560075178</v>
      </c>
      <c r="E8" s="26" t="n">
        <f aca="false">C8/(1+假设!$B$6)^假设!$B$7</f>
        <v>284.321099442241</v>
      </c>
    </row>
    <row r="9" customFormat="false" ht="15" hidden="false" customHeight="false" outlineLevel="0" collapsed="false">
      <c r="A9" s="40" t="n">
        <v>28</v>
      </c>
      <c r="B9" s="26" t="n">
        <f aca="false">B$5*$A9</f>
        <v>504.743632104133</v>
      </c>
      <c r="C9" s="26" t="n">
        <f aca="false">C$5*$A9</f>
        <v>423.843149360537</v>
      </c>
      <c r="D9" s="26" t="n">
        <f aca="false">D$5*$A9</f>
        <v>323.649267284199</v>
      </c>
      <c r="E9" s="26" t="n">
        <f aca="false">C9/(1+假设!$B$6)^假设!$B$7</f>
        <v>318.43963137531</v>
      </c>
    </row>
    <row r="10" customFormat="false" ht="15" hidden="false" customHeight="false" outlineLevel="0" collapsed="false">
      <c r="A10" s="40" t="n">
        <v>30</v>
      </c>
      <c r="B10" s="26" t="n">
        <f aca="false">B$5*$A10</f>
        <v>540.796748683</v>
      </c>
      <c r="C10" s="26" t="n">
        <f aca="false">C$5*$A10</f>
        <v>454.117660029147</v>
      </c>
      <c r="D10" s="26" t="n">
        <f aca="false">D$5*$A10</f>
        <v>346.767072090213</v>
      </c>
      <c r="E10" s="26" t="n">
        <f aca="false">C10/(1+假设!$B$6)^假设!$B$7</f>
        <v>341.185319330689</v>
      </c>
    </row>
    <row r="11" customFormat="false" ht="15" hidden="false" customHeight="false" outlineLevel="0" collapsed="false">
      <c r="A11" s="40" t="n">
        <v>32</v>
      </c>
      <c r="B11" s="26" t="n">
        <f aca="false">B$5*$A11</f>
        <v>576.849865261866</v>
      </c>
      <c r="C11" s="26" t="n">
        <f aca="false">C$5*$A11</f>
        <v>484.392170697757</v>
      </c>
      <c r="D11" s="26" t="n">
        <f aca="false">D$5*$A11</f>
        <v>369.884876896227</v>
      </c>
      <c r="E11" s="26" t="n">
        <f aca="false">C11/(1+假设!$B$6)^假设!$B$7</f>
        <v>363.931007286068</v>
      </c>
    </row>
    <row r="12" customFormat="false" ht="15" hidden="false" customHeight="false" outlineLevel="0" collapsed="false">
      <c r="A12" s="40" t="n">
        <v>35</v>
      </c>
      <c r="B12" s="26" t="n">
        <f aca="false">B$5*$A12</f>
        <v>630.929540130166</v>
      </c>
      <c r="C12" s="26" t="n">
        <f aca="false">C$5*$A12</f>
        <v>529.803936700672</v>
      </c>
      <c r="D12" s="26" t="n">
        <f aca="false">D$5*$A12</f>
        <v>404.561584105249</v>
      </c>
      <c r="E12" s="26" t="n">
        <f aca="false">C12/(1+假设!$B$6)^假设!$B$7</f>
        <v>398.049539219137</v>
      </c>
    </row>
    <row r="13" customFormat="false" ht="15" hidden="false" customHeight="false" outlineLevel="0" collapsed="false">
      <c r="A13" s="40" t="n">
        <v>38</v>
      </c>
      <c r="B13" s="26" t="n">
        <f aca="false">B$5*$A13</f>
        <v>685.009214998466</v>
      </c>
      <c r="C13" s="26" t="n">
        <f aca="false">C$5*$A13</f>
        <v>575.215702703586</v>
      </c>
      <c r="D13" s="26" t="n">
        <f aca="false">D$5*$A13</f>
        <v>439.23829131427</v>
      </c>
      <c r="E13" s="26" t="n">
        <f aca="false">C13/(1+假设!$B$6)^假设!$B$7</f>
        <v>432.168071152206</v>
      </c>
    </row>
    <row r="14" customFormat="false" ht="15" hidden="false" customHeight="false" outlineLevel="0" collapsed="false">
      <c r="A14" s="40" t="n">
        <v>40</v>
      </c>
      <c r="B14" s="26" t="n">
        <f aca="false">B$5*$A14</f>
        <v>721.062331577333</v>
      </c>
      <c r="C14" s="26" t="n">
        <f aca="false">C$5*$A14</f>
        <v>605.490213372196</v>
      </c>
      <c r="D14" s="26" t="n">
        <f aca="false">D$5*$A14</f>
        <v>462.356096120284</v>
      </c>
      <c r="E14" s="26" t="n">
        <f aca="false">C14/(1+假设!$B$6)^假设!$B$7</f>
        <v>454.913759107585</v>
      </c>
    </row>
    <row r="15" customFormat="false" ht="15" hidden="false" customHeight="false" outlineLevel="0" collapsed="false">
      <c r="A15" s="40" t="n">
        <v>45</v>
      </c>
      <c r="B15" s="26" t="n">
        <f aca="false">B$5*$A15</f>
        <v>811.195123024499</v>
      </c>
      <c r="C15" s="26" t="n">
        <f aca="false">C$5*$A15</f>
        <v>681.176490043721</v>
      </c>
      <c r="D15" s="26" t="n">
        <f aca="false">D$5*$A15</f>
        <v>520.15060813532</v>
      </c>
      <c r="E15" s="26" t="n">
        <f aca="false">C15/(1+假设!$B$6)^假设!$B$7</f>
        <v>511.777978996034</v>
      </c>
    </row>
    <row r="18" customFormat="false" ht="15" hidden="false" customHeight="false" outlineLevel="0" collapsed="false">
      <c r="A18" s="2" t="s">
        <v>236</v>
      </c>
    </row>
    <row r="19" customFormat="false" ht="15" hidden="false" customHeight="false" outlineLevel="0" collapsed="false">
      <c r="A19" s="4" t="s">
        <v>237</v>
      </c>
      <c r="B19" s="13" t="n">
        <f aca="false">情景模型!B74</f>
        <v>30</v>
      </c>
    </row>
    <row r="20" customFormat="false" ht="15" hidden="false" customHeight="false" outlineLevel="0" collapsed="false">
      <c r="A20" s="5" t="s">
        <v>238</v>
      </c>
      <c r="B20" s="19" t="s">
        <v>239</v>
      </c>
      <c r="C20" s="19" t="s">
        <v>240</v>
      </c>
      <c r="D20" s="19" t="s">
        <v>241</v>
      </c>
      <c r="E20" s="19" t="s">
        <v>242</v>
      </c>
      <c r="F20" s="19" t="s">
        <v>243</v>
      </c>
    </row>
    <row r="21" customFormat="false" ht="15" hidden="false" customHeight="false" outlineLevel="0" collapsed="false">
      <c r="A21" s="2" t="s">
        <v>244</v>
      </c>
      <c r="B21" s="30" t="n">
        <v>-0.1</v>
      </c>
      <c r="C21" s="30" t="n">
        <v>-0.05</v>
      </c>
      <c r="D21" s="30" t="n">
        <v>0</v>
      </c>
      <c r="E21" s="30" t="n">
        <v>0.05</v>
      </c>
      <c r="F21" s="30" t="n">
        <v>0.1</v>
      </c>
    </row>
    <row r="22" customFormat="false" ht="15" hidden="false" customHeight="false" outlineLevel="0" collapsed="false">
      <c r="A22" s="30" t="n">
        <v>0.08</v>
      </c>
      <c r="B22" s="26" t="n">
        <f aca="false">((((情景模型!$B$45*(1+$A22)^4*情景模型!$B$47*(1+B$21)/1000+情景模型!$F$52+情景模型!$F$53)*情景模型!$F$56-情景模型!$F$58+情景模型!$F$61)+情景模型!$F$68+情景模型!$F$69)*(1-假设!$B$10)-情景模型!$F$64)/情景模型!$F$66*$B$19</f>
        <v>358.21764113792</v>
      </c>
      <c r="C22" s="26" t="n">
        <f aca="false">((((情景模型!$B$45*(1+$A22)^4*情景模型!$B$47*(1+C$21)/1000+情景模型!$F$52+情景模型!$F$53)*情景模型!$F$56-情景模型!$F$58+情景模型!$F$61)+情景模型!$F$68+情景模型!$F$69)*(1-假设!$B$10)-情景模型!$F$64)/情景模型!$F$66*$B$19</f>
        <v>376.759554056805</v>
      </c>
      <c r="D22" s="26" t="n">
        <f aca="false">((((情景模型!$B$45*(1+$A22)^4*情景模型!$B$47*(1+D$21)/1000+情景模型!$F$52+情景模型!$F$53)*情景模型!$F$56-情景模型!$F$58+情景模型!$F$61)+情景模型!$F$68+情景模型!$F$69)*(1-假设!$B$10)-情景模型!$F$64)/情景模型!$F$66*$B$19</f>
        <v>395.30146697569</v>
      </c>
      <c r="E22" s="26" t="n">
        <f aca="false">((((情景模型!$B$45*(1+$A22)^4*情景模型!$B$47*(1+E$21)/1000+情景模型!$F$52+情景模型!$F$53)*情景模型!$F$56-情景模型!$F$58+情景模型!$F$61)+情景模型!$F$68+情景模型!$F$69)*(1-假设!$B$10)-情景模型!$F$64)/情景模型!$F$66*$B$19</f>
        <v>413.843379894574</v>
      </c>
      <c r="F22" s="26" t="n">
        <f aca="false">((((情景模型!$B$45*(1+$A22)^4*情景模型!$B$47*(1+F$21)/1000+情景模型!$F$52+情景模型!$F$53)*情景模型!$F$56-情景模型!$F$58+情景模型!$F$61)+情景模型!$F$68+情景模型!$F$69)*(1-假设!$B$10)-情景模型!$F$64)/情景模型!$F$66*$B$19</f>
        <v>432.385292813459</v>
      </c>
    </row>
    <row r="23" customFormat="false" ht="15" hidden="false" customHeight="false" outlineLevel="0" collapsed="false">
      <c r="A23" s="30" t="n">
        <v>0.1</v>
      </c>
      <c r="B23" s="26" t="n">
        <f aca="false">((((情景模型!$B$45*(1+$A23)^4*情景模型!$B$47*(1+B$21)/1000+情景模型!$F$52+情景模型!$F$53)*情景模型!$F$56-情景模型!$F$58+情景模型!$F$61)+情景模型!$F$68+情景模型!$F$69)*(1-假设!$B$10)-情景模型!$F$64)/情景模型!$F$66*$B$19</f>
        <v>383.635446703995</v>
      </c>
      <c r="C23" s="26" t="n">
        <f aca="false">((((情景模型!$B$45*(1+$A23)^4*情景模型!$B$47*(1+C$21)/1000+情景模型!$F$52+情景模型!$F$53)*情景模型!$F$56-情景模型!$F$58+情景模型!$F$61)+情景模型!$F$68+情景模型!$F$69)*(1-假设!$B$10)-情景模型!$F$64)/情景模型!$F$66*$B$19</f>
        <v>403.589459932106</v>
      </c>
      <c r="D23" s="26" t="n">
        <f aca="false">((((情景模型!$B$45*(1+$A23)^4*情景模型!$B$47*(1+D$21)/1000+情景模型!$F$52+情景模型!$F$53)*情景模型!$F$56-情景模型!$F$58+情景模型!$F$61)+情景模型!$F$68+情景模型!$F$69)*(1-假设!$B$10)-情景模型!$F$64)/情景模型!$F$66*$B$19</f>
        <v>423.543473160218</v>
      </c>
      <c r="E23" s="26" t="n">
        <f aca="false">((((情景模型!$B$45*(1+$A23)^4*情景模型!$B$47*(1+E$21)/1000+情景模型!$F$52+情景模型!$F$53)*情景模型!$F$56-情景模型!$F$58+情景模型!$F$61)+情景模型!$F$68+情景模型!$F$69)*(1-假设!$B$10)-情景模型!$F$64)/情景模型!$F$66*$B$19</f>
        <v>443.497486388329</v>
      </c>
      <c r="F23" s="26" t="n">
        <f aca="false">((((情景模型!$B$45*(1+$A23)^4*情景模型!$B$47*(1+F$21)/1000+情景模型!$F$52+情景模型!$F$53)*情景模型!$F$56-情景模型!$F$58+情景模型!$F$61)+情景模型!$F$68+情景模型!$F$69)*(1-假设!$B$10)-情景模型!$F$64)/情景模型!$F$66*$B$19</f>
        <v>463.45149961644</v>
      </c>
    </row>
    <row r="24" customFormat="false" ht="15" hidden="false" customHeight="false" outlineLevel="0" collapsed="false">
      <c r="A24" s="30" t="n">
        <v>0.12</v>
      </c>
      <c r="B24" s="26" t="n">
        <f aca="false">((((情景模型!$B$45*(1+$A24)^4*情景模型!$B$47*(1+B$21)/1000+情景模型!$F$52+情景模型!$F$53)*情景模型!$F$56-情景模型!$F$58+情景模型!$F$61)+情景模型!$F$68+情景模型!$F$69)*(1-假设!$B$10)-情景模型!$F$64)/情景模型!$F$66*$B$19</f>
        <v>410.478146262308</v>
      </c>
      <c r="C24" s="26" t="n">
        <f aca="false">((((情景模型!$B$45*(1+$A24)^4*情景模型!$B$47*(1+C$21)/1000+情景模型!$F$52+情景模型!$F$53)*情景模型!$F$56-情景模型!$F$58+情景模型!$F$61)+情景模型!$F$68+情景模型!$F$69)*(1-假设!$B$10)-情景模型!$F$64)/情景模型!$F$66*$B$19</f>
        <v>431.923420576992</v>
      </c>
      <c r="D24" s="26" t="n">
        <f aca="false">((((情景模型!$B$45*(1+$A24)^4*情景模型!$B$47*(1+D$21)/1000+情景模型!$F$52+情景模型!$F$53)*情景模型!$F$56-情景模型!$F$58+情景模型!$F$61)+情景模型!$F$68+情景模型!$F$69)*(1-假设!$B$10)-情景模型!$F$64)/情景模型!$F$66*$B$19</f>
        <v>453.368694891676</v>
      </c>
      <c r="E24" s="26" t="n">
        <f aca="false">((((情景模型!$B$45*(1+$A24)^4*情景模型!$B$47*(1+E$21)/1000+情景模型!$F$52+情景模型!$F$53)*情景模型!$F$56-情景模型!$F$58+情景模型!$F$61)+情景模型!$F$68+情景模型!$F$69)*(1-假设!$B$10)-情景模型!$F$64)/情景模型!$F$66*$B$19</f>
        <v>474.813969206361</v>
      </c>
      <c r="F24" s="26" t="n">
        <f aca="false">((((情景模型!$B$45*(1+$A24)^4*情景模型!$B$47*(1+F$21)/1000+情景模型!$F$52+情景模型!$F$53)*情景模型!$F$56-情景模型!$F$58+情景模型!$F$61)+情景模型!$F$68+情景模型!$F$69)*(1-假设!$B$10)-情景模型!$F$64)/情景模型!$F$66*$B$19</f>
        <v>496.259243521045</v>
      </c>
    </row>
    <row r="25" customFormat="false" ht="15" hidden="false" customHeight="false" outlineLevel="0" collapsed="false">
      <c r="A25" s="30" t="n">
        <v>0.14</v>
      </c>
      <c r="B25" s="26" t="n">
        <f aca="false">((((情景模型!$B$45*(1+$A25)^4*情景模型!$B$47*(1+B$21)/1000+情景模型!$F$52+情景模型!$F$53)*情景模型!$F$56-情景模型!$F$58+情景模型!$F$61)+情景模型!$F$68+情景模型!$F$69)*(1-假设!$B$10)-情景模型!$F$64)/情景模型!$F$66*$B$19</f>
        <v>438.798022298609</v>
      </c>
      <c r="C25" s="26" t="n">
        <f aca="false">((((情景模型!$B$45*(1+$A25)^4*情景模型!$B$47*(1+C$21)/1000+情景模型!$F$52+情景模型!$F$53)*情景模型!$F$56-情景模型!$F$58+情景模型!$F$61)+情景模型!$F$68+情景模型!$F$69)*(1-假设!$B$10)-情景模型!$F$64)/情景模型!$F$66*$B$19</f>
        <v>461.816623059754</v>
      </c>
      <c r="D25" s="26" t="n">
        <f aca="false">((((情景模型!$B$45*(1+$A25)^4*情景模型!$B$47*(1+D$21)/1000+情景模型!$F$52+情景模型!$F$53)*情景模型!$F$56-情景模型!$F$58+情景模型!$F$61)+情景模型!$F$68+情景模型!$F$69)*(1-假设!$B$10)-情景模型!$F$64)/情景模型!$F$66*$B$19</f>
        <v>484.835223820899</v>
      </c>
      <c r="E25" s="26" t="n">
        <f aca="false">((((情景模型!$B$45*(1+$A25)^4*情景模型!$B$47*(1+E$21)/1000+情景模型!$F$52+情景模型!$F$53)*情景模型!$F$56-情景模型!$F$58+情景模型!$F$61)+情景模型!$F$68+情景模型!$F$69)*(1-假设!$B$10)-情景模型!$F$64)/情景模型!$F$66*$B$19</f>
        <v>507.853824582044</v>
      </c>
      <c r="F25" s="26" t="n">
        <f aca="false">((((情景模型!$B$45*(1+$A25)^4*情景模型!$B$47*(1+F$21)/1000+情景模型!$F$52+情景模型!$F$53)*情景模型!$F$56-情景模型!$F$58+情景模型!$F$61)+情景模型!$F$68+情景模型!$F$69)*(1-假设!$B$10)-情景模型!$F$64)/情景模型!$F$66*$B$19</f>
        <v>530.872425343189</v>
      </c>
    </row>
    <row r="26" customFormat="false" ht="15" hidden="false" customHeight="false" outlineLevel="0" collapsed="false">
      <c r="A26" s="30" t="n">
        <v>0.16</v>
      </c>
      <c r="B26" s="26" t="n">
        <f aca="false">((((情景模型!$B$45*(1+$A26)^4*情景模型!$B$47*(1+B$21)/1000+情景模型!$F$52+情景模型!$F$53)*情景模型!$F$56-情景模型!$F$58+情景模型!$F$61)+情景模型!$F$68+情景模型!$F$69)*(1-假设!$B$10)-情景模型!$F$64)/情景模型!$F$66*$B$19</f>
        <v>468.648299325415</v>
      </c>
      <c r="C26" s="26" t="n">
        <f aca="false">((((情景模型!$B$45*(1+$A26)^4*情景模型!$B$47*(1+C$21)/1000+情景模型!$F$52+情景模型!$F$53)*情景模型!$F$56-情景模型!$F$58+情景模型!$F$61)+情景模型!$F$68+情景模型!$F$69)*(1-假设!$B$10)-情景模型!$F$64)/情景模型!$F$66*$B$19</f>
        <v>493.325248810272</v>
      </c>
      <c r="D26" s="26" t="n">
        <f aca="false">((((情景模型!$B$45*(1+$A26)^4*情景模型!$B$47*(1+D$21)/1000+情景模型!$F$52+情景模型!$F$53)*情景模型!$F$56-情景模型!$F$58+情景模型!$F$61)+情景模型!$F$68+情景模型!$F$69)*(1-假设!$B$10)-情景模型!$F$64)/情景模型!$F$66*$B$19</f>
        <v>518.002198295128</v>
      </c>
      <c r="E26" s="26" t="n">
        <f aca="false">((((情景模型!$B$45*(1+$A26)^4*情景模型!$B$47*(1+E$21)/1000+情景模型!$F$52+情景模型!$F$53)*情景模型!$F$56-情景模型!$F$58+情景模型!$F$61)+情景模型!$F$68+情景模型!$F$69)*(1-假设!$B$10)-情景模型!$F$64)/情景模型!$F$66*$B$19</f>
        <v>542.679147779985</v>
      </c>
      <c r="F26" s="26" t="n">
        <f aca="false">((((情景模型!$B$45*(1+$A26)^4*情景模型!$B$47*(1+F$21)/1000+情景模型!$F$52+情景模型!$F$53)*情景模型!$F$56-情景模型!$F$58+情景模型!$F$61)+情景模型!$F$68+情景模型!$F$69)*(1-假设!$B$10)-情景模型!$F$64)/情景模型!$F$66*$B$19</f>
        <v>567.356097264842</v>
      </c>
    </row>
    <row r="28" customFormat="false" ht="15" hidden="false" customHeight="false" outlineLevel="0" collapsed="false">
      <c r="A28" s="4" t="s">
        <v>245</v>
      </c>
    </row>
    <row r="30" customFormat="false" ht="15" hidden="false" customHeight="false" outlineLevel="0" collapsed="false">
      <c r="A30" s="2" t="s">
        <v>246</v>
      </c>
    </row>
    <row r="31" customFormat="false" ht="26.85" hidden="false" customHeight="false" outlineLevel="0" collapsed="false">
      <c r="A31" s="5" t="s">
        <v>247</v>
      </c>
      <c r="B31" s="5" t="s">
        <v>248</v>
      </c>
      <c r="C31" s="19" t="s">
        <v>249</v>
      </c>
      <c r="D31" s="19" t="s">
        <v>250</v>
      </c>
      <c r="E31" s="19" t="s">
        <v>251</v>
      </c>
    </row>
    <row r="32" customFormat="false" ht="15" hidden="false" customHeight="false" outlineLevel="0" collapsed="false">
      <c r="A32" s="30" t="n">
        <v>0</v>
      </c>
      <c r="B32" s="27" t="n">
        <f aca="false">情景模型!$F$53*A32</f>
        <v>0</v>
      </c>
      <c r="C32" s="18" t="n">
        <f aca="false">-B32*(1-假设!$B$10)/情景模型!$F$66</f>
        <v>-0</v>
      </c>
      <c r="D32" s="7" t="n">
        <f aca="false">C32/情景模型!$F$71</f>
        <v>-0</v>
      </c>
      <c r="E32" s="26" t="n">
        <f aca="false">(情景模型!$F$71+C32)*情景模型!$B$74</f>
        <v>454.117660029147</v>
      </c>
    </row>
    <row r="33" customFormat="false" ht="15" hidden="false" customHeight="false" outlineLevel="0" collapsed="false">
      <c r="A33" s="30" t="n">
        <v>0.05</v>
      </c>
      <c r="B33" s="27" t="n">
        <f aca="false">情景模型!$F$53*A33</f>
        <v>169.407436054</v>
      </c>
      <c r="C33" s="18" t="n">
        <f aca="false">-B33*(1-假设!$B$10)/情景模型!$F$66</f>
        <v>-0.376075191282737</v>
      </c>
      <c r="D33" s="7" t="n">
        <f aca="false">C33/情景模型!$F$71</f>
        <v>-0.0248443448285142</v>
      </c>
      <c r="E33" s="26" t="n">
        <f aca="false">(情景模型!$F$71+C33)*情景模型!$B$74</f>
        <v>442.835404290665</v>
      </c>
    </row>
    <row r="34" customFormat="false" ht="15" hidden="false" customHeight="false" outlineLevel="0" collapsed="false">
      <c r="A34" s="30" t="n">
        <v>0.1</v>
      </c>
      <c r="B34" s="27" t="n">
        <f aca="false">情景模型!$F$53*A34</f>
        <v>338.814872108</v>
      </c>
      <c r="C34" s="18" t="n">
        <f aca="false">-B34*(1-假设!$B$10)/情景模型!$F$66</f>
        <v>-0.752150382565475</v>
      </c>
      <c r="D34" s="7" t="n">
        <f aca="false">C34/情景模型!$F$71</f>
        <v>-0.0496886896570284</v>
      </c>
      <c r="E34" s="26" t="n">
        <f aca="false">(情景模型!$F$71+C34)*情景模型!$B$74</f>
        <v>431.553148552183</v>
      </c>
    </row>
    <row r="35" customFormat="false" ht="15" hidden="false" customHeight="false" outlineLevel="0" collapsed="false">
      <c r="A35" s="30" t="n">
        <v>0.15</v>
      </c>
      <c r="B35" s="27" t="n">
        <f aca="false">情景模型!$F$53*A35</f>
        <v>508.222308162</v>
      </c>
      <c r="C35" s="18" t="n">
        <f aca="false">-B35*(1-假设!$B$10)/情景模型!$F$66</f>
        <v>-1.12822557384821</v>
      </c>
      <c r="D35" s="7" t="n">
        <f aca="false">C35/情景模型!$F$71</f>
        <v>-0.0745330344855427</v>
      </c>
      <c r="E35" s="26" t="n">
        <f aca="false">(情景模型!$F$71+C35)*情景模型!$B$74</f>
        <v>420.270892813701</v>
      </c>
    </row>
    <row r="36" customFormat="false" ht="15" hidden="false" customHeight="false" outlineLevel="0" collapsed="false">
      <c r="A36" s="30" t="n">
        <v>0.2</v>
      </c>
      <c r="B36" s="27" t="n">
        <f aca="false">情景模型!$F$53*A36</f>
        <v>677.629744216</v>
      </c>
      <c r="C36" s="18" t="n">
        <f aca="false">-B36*(1-假设!$B$10)/情景模型!$F$66</f>
        <v>-1.50430076513095</v>
      </c>
      <c r="D36" s="7" t="n">
        <f aca="false">C36/情景模型!$F$71</f>
        <v>-0.0993773793140569</v>
      </c>
      <c r="E36" s="26" t="n">
        <f aca="false">(情景模型!$F$71+C36)*情景模型!$B$74</f>
        <v>408.988637075219</v>
      </c>
    </row>
    <row r="38" customFormat="false" ht="15" hidden="false" customHeight="false" outlineLevel="0" collapsed="false">
      <c r="A38" s="4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2026-10-16T08:16:15Z</dcterms:created>
  <dc:creator>openpyxl</dc:creator>
  <dc:description/>
  <dc:language>en-US</dc:language>
  <cp:lastModifiedBy/>
  <dcterms:modified xsi:type="dcterms:W3CDTF">2026-10-16T08:16:15Z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